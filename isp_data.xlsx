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15" windowHeight="10200"/>
  </bookViews>
  <sheets>
    <sheet name="Sheet1" sheetId="3" r:id="rId1"/>
    <sheet name="Oct-2025" sheetId="1" r:id="rId2"/>
    <sheet name="Nov-2025" sheetId="2" r:id="rId3"/>
  </sheets>
  <definedNames>
    <definedName name="_xlnm._FilterDatabase" localSheetId="1" hidden="1">'Oct-2025'!$A$12:$J$204</definedName>
    <definedName name="_xlnm._FilterDatabase" localSheetId="2" hidden="1">'Nov-2025'!$A$11:$J$182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<sst xmlns="http://schemas.openxmlformats.org/spreadsheetml/2006/main" count="2667" uniqueCount="570">
  <si>
    <t>username</t>
  </si>
  <si>
    <t>name</t>
  </si>
  <si>
    <t>area</t>
  </si>
  <si>
    <t>package</t>
  </si>
  <si>
    <t>salesprice</t>
  </si>
  <si>
    <t>service provider</t>
  </si>
  <si>
    <t>purchaseprice</t>
  </si>
  <si>
    <t>abdulwahab-azt</t>
  </si>
  <si>
    <t xml:space="preserve">Abdul Latif </t>
  </si>
  <si>
    <t>Azeem Town</t>
  </si>
  <si>
    <t>6 Mbps</t>
  </si>
  <si>
    <t>Sblink Panel</t>
  </si>
  <si>
    <t>sohail-azt</t>
  </si>
  <si>
    <t>Sohail</t>
  </si>
  <si>
    <t>umar-nb</t>
  </si>
  <si>
    <t>Umar N/B</t>
  </si>
  <si>
    <t>alihassan-azt</t>
  </si>
  <si>
    <t>Ali Hassan Baldiya</t>
  </si>
  <si>
    <t>muzafar-azt</t>
  </si>
  <si>
    <t>muzafar hussain</t>
  </si>
  <si>
    <t>mohsin-azt</t>
  </si>
  <si>
    <t>Mohsin Khan</t>
  </si>
  <si>
    <t>8 Mbps</t>
  </si>
  <si>
    <t>islam-azt</t>
  </si>
  <si>
    <t>islam saudia</t>
  </si>
  <si>
    <t>makup-azt</t>
  </si>
  <si>
    <t>Makup Studio</t>
  </si>
  <si>
    <t>amir-azt</t>
  </si>
  <si>
    <t xml:space="preserve">Amir </t>
  </si>
  <si>
    <t>hassnain-azt</t>
  </si>
  <si>
    <t>Hussnain Saeed</t>
  </si>
  <si>
    <t>saim-azt</t>
  </si>
  <si>
    <t>Saim Dubai</t>
  </si>
  <si>
    <t>kaleem-azt</t>
  </si>
  <si>
    <t>Kaleem Darzan</t>
  </si>
  <si>
    <t>dranwar-azt</t>
  </si>
  <si>
    <t>Dr anwar</t>
  </si>
  <si>
    <t>ishfaq-azt</t>
  </si>
  <si>
    <t>Ishfaq Teacher Lucky</t>
  </si>
  <si>
    <t>mazhar-azt</t>
  </si>
  <si>
    <t>Mazhar Hussain</t>
  </si>
  <si>
    <t>anus-azt</t>
  </si>
  <si>
    <t>Anus Quarishi</t>
  </si>
  <si>
    <t>ahmad-azt</t>
  </si>
  <si>
    <t xml:space="preserve">Ahmad </t>
  </si>
  <si>
    <t>ytstudio-azt</t>
  </si>
  <si>
    <t>Jam yt Studio</t>
  </si>
  <si>
    <t>hamza-azt</t>
  </si>
  <si>
    <t xml:space="preserve">Hamza </t>
  </si>
  <si>
    <t>zubair-azt</t>
  </si>
  <si>
    <t>Zubair</t>
  </si>
  <si>
    <t>kalyar-azt</t>
  </si>
  <si>
    <t>Kalyar Agriculture</t>
  </si>
  <si>
    <t>shahid-azt</t>
  </si>
  <si>
    <t>Shahid Wapda</t>
  </si>
  <si>
    <t>javeed-azt</t>
  </si>
  <si>
    <t>Hamza Javeed</t>
  </si>
  <si>
    <t>sakhi-azt</t>
  </si>
  <si>
    <t>sakhi cheema</t>
  </si>
  <si>
    <t>nazeer-azt</t>
  </si>
  <si>
    <t>Nazeer Sohneri Bank</t>
  </si>
  <si>
    <t>anwar-azt</t>
  </si>
  <si>
    <t>Anwar Malik Makan</t>
  </si>
  <si>
    <t>kps-dpc</t>
  </si>
  <si>
    <t>Kanwal Shop</t>
  </si>
  <si>
    <t>Dinpur Colony</t>
  </si>
  <si>
    <t>eload1-dpc</t>
  </si>
  <si>
    <t>eload 1</t>
  </si>
  <si>
    <t>rehan-apr</t>
  </si>
  <si>
    <t>Waseem Airport Road</t>
  </si>
  <si>
    <t>adnan-apr</t>
  </si>
  <si>
    <t>Adnan Rent a Car Apr</t>
  </si>
  <si>
    <t>alikhan-dpc</t>
  </si>
  <si>
    <t>Qadeer DPC</t>
  </si>
  <si>
    <t>farooq-dpc</t>
  </si>
  <si>
    <t>Farooq Pco</t>
  </si>
  <si>
    <t>aqeel-dpc</t>
  </si>
  <si>
    <t>Dr Aqeel Vatn</t>
  </si>
  <si>
    <t>umar-dpc</t>
  </si>
  <si>
    <t>Umar DPc</t>
  </si>
  <si>
    <t>7 Mbps</t>
  </si>
  <si>
    <t>ali-dpc</t>
  </si>
  <si>
    <t>ali dinpuri</t>
  </si>
  <si>
    <t>6 mbps</t>
  </si>
  <si>
    <t>yousaf-dpc</t>
  </si>
  <si>
    <t>yousaf</t>
  </si>
  <si>
    <t>ateeq-dpc</t>
  </si>
  <si>
    <t>Qari Ateeq</t>
  </si>
  <si>
    <t>kareem-dpc</t>
  </si>
  <si>
    <t>Abdul Kareem</t>
  </si>
  <si>
    <t>farhan-dpc</t>
  </si>
  <si>
    <t xml:space="preserve">Farhan Quarishi </t>
  </si>
  <si>
    <t>bilal-dpc</t>
  </si>
  <si>
    <t>Qari Bilal</t>
  </si>
  <si>
    <t>mavia-dpc</t>
  </si>
  <si>
    <t>Mavia Ali</t>
  </si>
  <si>
    <t>masood-dpc</t>
  </si>
  <si>
    <t>Masood</t>
  </si>
  <si>
    <t>afzaal-60p</t>
  </si>
  <si>
    <t>Afzaal Aarin Shop</t>
  </si>
  <si>
    <t>Grid 60p</t>
  </si>
  <si>
    <t>shahid-60p</t>
  </si>
  <si>
    <t>Shahid Shop</t>
  </si>
  <si>
    <t>ahmad-60p</t>
  </si>
  <si>
    <t>Ahmad Shop Side</t>
  </si>
  <si>
    <t>junaid-60p</t>
  </si>
  <si>
    <t xml:space="preserve">Junaid </t>
  </si>
  <si>
    <t>rizwan-60p</t>
  </si>
  <si>
    <t xml:space="preserve">Rizwan </t>
  </si>
  <si>
    <t>bilal-60p</t>
  </si>
  <si>
    <t>Bilal Cctv</t>
  </si>
  <si>
    <t>school-60</t>
  </si>
  <si>
    <t>Boys School khan</t>
  </si>
  <si>
    <t>abdulrehman-60p</t>
  </si>
  <si>
    <t>Abdul Rehman</t>
  </si>
  <si>
    <t>adeel-60p</t>
  </si>
  <si>
    <t xml:space="preserve">Adeel </t>
  </si>
  <si>
    <t>12 Mbps</t>
  </si>
  <si>
    <t>abdulhameed-60p</t>
  </si>
  <si>
    <t>Abdull Hameed Mills</t>
  </si>
  <si>
    <t>10 Mbps</t>
  </si>
  <si>
    <t>khalid-60p</t>
  </si>
  <si>
    <t>khalid 60p</t>
  </si>
  <si>
    <t>muneeb-60p</t>
  </si>
  <si>
    <t>Muneeb Chudary</t>
  </si>
  <si>
    <t>zeeshan-60p</t>
  </si>
  <si>
    <t>Zeeshan</t>
  </si>
  <si>
    <t>shafiq-60p</t>
  </si>
  <si>
    <t>Shafiq Welder</t>
  </si>
  <si>
    <t>nasir-60p</t>
  </si>
  <si>
    <t>Nasir Jutt</t>
  </si>
  <si>
    <t>sattar-60p</t>
  </si>
  <si>
    <t>Sattar ul Haq</t>
  </si>
  <si>
    <t>khaliq-60p</t>
  </si>
  <si>
    <t>Khaliq NumberDAr</t>
  </si>
  <si>
    <t>kashif-60p</t>
  </si>
  <si>
    <t>Kashif Apr</t>
  </si>
  <si>
    <t>naseer-60p</t>
  </si>
  <si>
    <t>Naseer Chudary</t>
  </si>
  <si>
    <t>badar-60p</t>
  </si>
  <si>
    <t>Imran Badar Mandi</t>
  </si>
  <si>
    <t>muneer-60p</t>
  </si>
  <si>
    <t>Chudary Muneer</t>
  </si>
  <si>
    <t>arslan-60p</t>
  </si>
  <si>
    <t xml:space="preserve">Arslan </t>
  </si>
  <si>
    <t>faysal-60p</t>
  </si>
  <si>
    <t>Shahid Saudia</t>
  </si>
  <si>
    <t>aftab-60p</t>
  </si>
  <si>
    <t>Aftab Colony</t>
  </si>
  <si>
    <t>adeel-60pc</t>
  </si>
  <si>
    <t>Adeel Colony</t>
  </si>
  <si>
    <t>hassnain-60p</t>
  </si>
  <si>
    <t>Hussnain Colony</t>
  </si>
  <si>
    <t>awais-60p</t>
  </si>
  <si>
    <t>Awaid Shop Colony</t>
  </si>
  <si>
    <t>parwaiz-60p</t>
  </si>
  <si>
    <t>Parwaiz Thori Colony</t>
  </si>
  <si>
    <t>sajan-60p</t>
  </si>
  <si>
    <t>Sajan Thori Colony</t>
  </si>
  <si>
    <t>iqbal-60p</t>
  </si>
  <si>
    <t xml:space="preserve">Iqbal Colony </t>
  </si>
  <si>
    <t>rashid-60p</t>
  </si>
  <si>
    <t>Rashid Colony</t>
  </si>
  <si>
    <t>tahir-60p</t>
  </si>
  <si>
    <t>Tahir Mugal</t>
  </si>
  <si>
    <t>tahir-mt</t>
  </si>
  <si>
    <t>Malik Tahir</t>
  </si>
  <si>
    <t>Madina Town</t>
  </si>
  <si>
    <t>waqas-mt</t>
  </si>
  <si>
    <t>Malik waqas khan</t>
  </si>
  <si>
    <t>salman-mt</t>
  </si>
  <si>
    <t>Salman Onliner</t>
  </si>
  <si>
    <t>arbaz-mt</t>
  </si>
  <si>
    <t xml:space="preserve">Arbaz Teacher </t>
  </si>
  <si>
    <t>ishfaq-mt</t>
  </si>
  <si>
    <t xml:space="preserve">Ishfaq Teacher </t>
  </si>
  <si>
    <t>faisal-mt</t>
  </si>
  <si>
    <t>Malik Faysal</t>
  </si>
  <si>
    <t>asad-mt</t>
  </si>
  <si>
    <t>Asad Ghaleja</t>
  </si>
  <si>
    <t>karamat-mt2</t>
  </si>
  <si>
    <t>Karamat Nephew</t>
  </si>
  <si>
    <t>karmat-mt</t>
  </si>
  <si>
    <t>Hagiz Usushh</t>
  </si>
  <si>
    <t>sajid-mt</t>
  </si>
  <si>
    <t>Nadeem Bros</t>
  </si>
  <si>
    <t>hassnain-mt</t>
  </si>
  <si>
    <t>sir sami</t>
  </si>
  <si>
    <t>shahid-mt</t>
  </si>
  <si>
    <t>ali hamza bank c</t>
  </si>
  <si>
    <t>waqar-mt</t>
  </si>
  <si>
    <t>Waqar medical store Khan</t>
  </si>
  <si>
    <t>shaheer-mt</t>
  </si>
  <si>
    <t>Ghani Trader</t>
  </si>
  <si>
    <t>afzal-rc</t>
  </si>
  <si>
    <t>Abdullah Grocery shop</t>
  </si>
  <si>
    <t>Rehman Colony</t>
  </si>
  <si>
    <t>jawad-rc</t>
  </si>
  <si>
    <t>Afzal Khan</t>
  </si>
  <si>
    <t>khalid-rc</t>
  </si>
  <si>
    <t>Ali Mansoor</t>
  </si>
  <si>
    <t>aqeel-punia</t>
  </si>
  <si>
    <t>Amjad Khan</t>
  </si>
  <si>
    <t>shabeer-rc</t>
  </si>
  <si>
    <t>Aqeel punia Puinia</t>
  </si>
  <si>
    <t>muneer-rc</t>
  </si>
  <si>
    <t>Fareed Khan</t>
  </si>
  <si>
    <t>18 Mbps</t>
  </si>
  <si>
    <t>shamsheer-rc</t>
  </si>
  <si>
    <t>Ali Nafees khan</t>
  </si>
  <si>
    <t>aslam-rc</t>
  </si>
  <si>
    <t>saif-rc</t>
  </si>
  <si>
    <t>Ibtasam Khan</t>
  </si>
  <si>
    <t>gm-rc</t>
  </si>
  <si>
    <t>Imran Khan</t>
  </si>
  <si>
    <t>waheed-rc</t>
  </si>
  <si>
    <t>Irfan Mobile</t>
  </si>
  <si>
    <t>irfan-rc</t>
  </si>
  <si>
    <t>Malik jawad</t>
  </si>
  <si>
    <t>salman-rc</t>
  </si>
  <si>
    <t>Kashif Noor</t>
  </si>
  <si>
    <t>kashif-noor</t>
  </si>
  <si>
    <t>Jam Khalid</t>
  </si>
  <si>
    <t>noman-rc</t>
  </si>
  <si>
    <t>Mazhar Rc</t>
  </si>
  <si>
    <t>babu-rc</t>
  </si>
  <si>
    <t>Kenal road 2 Jutt</t>
  </si>
  <si>
    <t>tayyab-rc</t>
  </si>
  <si>
    <t>Noman Abbasi</t>
  </si>
  <si>
    <t>anus-rc</t>
  </si>
  <si>
    <t>Khawaja Rashid Khan</t>
  </si>
  <si>
    <t>jabar-rc</t>
  </si>
  <si>
    <t>Saif Rehman</t>
  </si>
  <si>
    <t>siddique-rc</t>
  </si>
  <si>
    <t>jam rehan Salman</t>
  </si>
  <si>
    <t>waqar-rc</t>
  </si>
  <si>
    <t>Shabeer Khan</t>
  </si>
  <si>
    <t>waqas-rc</t>
  </si>
  <si>
    <t>talha usman</t>
  </si>
  <si>
    <t>rashid-rc</t>
  </si>
  <si>
    <t>Tayyab Khan</t>
  </si>
  <si>
    <t>ibtasam-rc</t>
  </si>
  <si>
    <t>Umar Farooq</t>
  </si>
  <si>
    <t>naveed-rc</t>
  </si>
  <si>
    <t>Umer Ghani</t>
  </si>
  <si>
    <t>thaikydar-rc</t>
  </si>
  <si>
    <t>Usman Seher</t>
  </si>
  <si>
    <t>ali-rc</t>
  </si>
  <si>
    <t>imran union ghjgk</t>
  </si>
  <si>
    <t>ghafar-rc</t>
  </si>
  <si>
    <t>40 Mbps</t>
  </si>
  <si>
    <t>hussain-rc</t>
  </si>
  <si>
    <t>41 Mbps</t>
  </si>
  <si>
    <t>irshad-rc</t>
  </si>
  <si>
    <t>tgg hhgg</t>
  </si>
  <si>
    <t>mohsin-rc</t>
  </si>
  <si>
    <t>Malik irshad khan</t>
  </si>
  <si>
    <t>talha-rc</t>
  </si>
  <si>
    <t>Mehboob Khan</t>
  </si>
  <si>
    <t>imran-rc</t>
  </si>
  <si>
    <t>niaz khan</t>
  </si>
  <si>
    <t>raheel-rc</t>
  </si>
  <si>
    <t>ali zuhaib water supply</t>
  </si>
  <si>
    <t>shah-rc</t>
  </si>
  <si>
    <t>Babu rv</t>
  </si>
  <si>
    <t>umar-ghani</t>
  </si>
  <si>
    <t>ishfaq bedani</t>
  </si>
  <si>
    <t>abdullah-rc</t>
  </si>
  <si>
    <t>Gulzar rc</t>
  </si>
  <si>
    <t>ishaq-rc</t>
  </si>
  <si>
    <t>usman-rc</t>
  </si>
  <si>
    <t>saikh sidque</t>
  </si>
  <si>
    <t>adil-rc</t>
  </si>
  <si>
    <t>Saad</t>
  </si>
  <si>
    <t>niaz-rc</t>
  </si>
  <si>
    <t>Jabar bedani</t>
  </si>
  <si>
    <t>tahir-rc</t>
  </si>
  <si>
    <t>Tayyab abbasi</t>
  </si>
  <si>
    <t>amjad-rc</t>
  </si>
  <si>
    <t>anus</t>
  </si>
  <si>
    <t>gulzar-rc</t>
  </si>
  <si>
    <t>naveed</t>
  </si>
  <si>
    <t>tayab-rc</t>
  </si>
  <si>
    <t>ghafar</t>
  </si>
  <si>
    <t>mujahid-rc</t>
  </si>
  <si>
    <t>aslam</t>
  </si>
  <si>
    <t>arslan-rc</t>
  </si>
  <si>
    <t>Shamsheer</t>
  </si>
  <si>
    <t>freed-rc</t>
  </si>
  <si>
    <t>Mohsin</t>
  </si>
  <si>
    <t>mazhar-rc</t>
  </si>
  <si>
    <t>Malik</t>
  </si>
  <si>
    <t>mubashir-rc</t>
  </si>
  <si>
    <t>Muneer muna</t>
  </si>
  <si>
    <t>naeem-60p</t>
  </si>
  <si>
    <t>umair saleem</t>
  </si>
  <si>
    <t>Wireless</t>
  </si>
  <si>
    <t>abdullhaq-60</t>
  </si>
  <si>
    <t>shah</t>
  </si>
  <si>
    <t>badar-sb</t>
  </si>
  <si>
    <t>tahir</t>
  </si>
  <si>
    <t>adnan-60p</t>
  </si>
  <si>
    <t>mujahid</t>
  </si>
  <si>
    <t>ghr01</t>
  </si>
  <si>
    <t>waheed</t>
  </si>
  <si>
    <t>khuram-thq</t>
  </si>
  <si>
    <t>Tanveer ghotiyan Khan</t>
  </si>
  <si>
    <t>ishfaq-sb</t>
  </si>
  <si>
    <t>Ishfaq Khan</t>
  </si>
  <si>
    <t>shoaib-99p</t>
  </si>
  <si>
    <t>khuram thq</t>
  </si>
  <si>
    <t>taha-mc</t>
  </si>
  <si>
    <t>Mehmood cotton Factory</t>
  </si>
  <si>
    <t>bilal-loco</t>
  </si>
  <si>
    <t>masjid tayba street</t>
  </si>
  <si>
    <t>hizbullah-gt</t>
  </si>
  <si>
    <t>Nabeel Farm</t>
  </si>
  <si>
    <t>umar-60p</t>
  </si>
  <si>
    <t>Shoaib 99p</t>
  </si>
  <si>
    <t>mehmoodcotton</t>
  </si>
  <si>
    <t>Ali Saiwaram</t>
  </si>
  <si>
    <t>sw-sw</t>
  </si>
  <si>
    <t>Taha korai</t>
  </si>
  <si>
    <t>manan-wbd</t>
  </si>
  <si>
    <t>Umair Sw</t>
  </si>
  <si>
    <t>hassnain-ng</t>
  </si>
  <si>
    <t>Malik Umer</t>
  </si>
  <si>
    <t>umair-sw</t>
  </si>
  <si>
    <t>citymedicos</t>
  </si>
  <si>
    <t>ahmad-bb</t>
  </si>
  <si>
    <t>qari hizbullah</t>
  </si>
  <si>
    <t>rashid-sw</t>
  </si>
  <si>
    <t>Arshad 99p</t>
  </si>
  <si>
    <t>Zubair-mt</t>
  </si>
  <si>
    <t>badar</t>
  </si>
  <si>
    <t>court01</t>
  </si>
  <si>
    <t>Asad Court</t>
  </si>
  <si>
    <t>Court Area</t>
  </si>
  <si>
    <t>sessioncourt</t>
  </si>
  <si>
    <t>Jetha court</t>
  </si>
  <si>
    <t>sami-4p</t>
  </si>
  <si>
    <t>Record Centre</t>
  </si>
  <si>
    <t>akram-4p</t>
  </si>
  <si>
    <t>Akram Complax</t>
  </si>
  <si>
    <t>aftab-4p</t>
  </si>
  <si>
    <t>jetha Complax</t>
  </si>
  <si>
    <t>asadcourt</t>
  </si>
  <si>
    <t>asad Complax</t>
  </si>
  <si>
    <t>ad-complax</t>
  </si>
  <si>
    <t>allah dita Complax</t>
  </si>
  <si>
    <t>maki-4p</t>
  </si>
  <si>
    <t>Maki Complax</t>
  </si>
  <si>
    <t>asif-st</t>
  </si>
  <si>
    <t>Wazir Khan</t>
  </si>
  <si>
    <t>Others</t>
  </si>
  <si>
    <t>sami-bio</t>
  </si>
  <si>
    <t>meer-st</t>
  </si>
  <si>
    <t>9 Mbps</t>
  </si>
  <si>
    <t>husnain-tfc</t>
  </si>
  <si>
    <t>usman-st</t>
  </si>
  <si>
    <t>11 Mbps</t>
  </si>
  <si>
    <t>shifaclinic</t>
  </si>
  <si>
    <t>ghanitraders</t>
  </si>
  <si>
    <t>13 Mbps</t>
  </si>
  <si>
    <t>hafizcctv</t>
  </si>
  <si>
    <t>14 Mbps</t>
  </si>
  <si>
    <t>habib-bhai</t>
  </si>
  <si>
    <t>15 Mbps</t>
  </si>
  <si>
    <t>umar-rc</t>
  </si>
  <si>
    <t>16 Mbps</t>
  </si>
  <si>
    <t>azam-bank</t>
  </si>
  <si>
    <t>nadeembros</t>
  </si>
  <si>
    <t>19 Mbps</t>
  </si>
  <si>
    <t>malikmedicos</t>
  </si>
  <si>
    <t>20 Mbps</t>
  </si>
  <si>
    <t>hafiz-computer</t>
  </si>
  <si>
    <t>21 Mbps</t>
  </si>
  <si>
    <t>ffc-btm</t>
  </si>
  <si>
    <t>22 Mbps</t>
  </si>
  <si>
    <t>imran-bc</t>
  </si>
  <si>
    <t>23 Mbps</t>
  </si>
  <si>
    <t>najeeb-hospital</t>
  </si>
  <si>
    <t>24 Mbps</t>
  </si>
  <si>
    <t>Thq Hospital</t>
  </si>
  <si>
    <t>25 Mbps</t>
  </si>
  <si>
    <t>Haroon-bhai</t>
  </si>
  <si>
    <t>26 Mbps</t>
  </si>
  <si>
    <t>27 Mbps</t>
  </si>
  <si>
    <t>asif-btm</t>
  </si>
  <si>
    <t>28 Mbps</t>
  </si>
  <si>
    <t>ayan-btm</t>
  </si>
  <si>
    <t>29 Mbps</t>
  </si>
  <si>
    <t>asif2-btm</t>
  </si>
  <si>
    <t>30 Mbps</t>
  </si>
  <si>
    <t>ali-mt</t>
  </si>
  <si>
    <t>ali</t>
  </si>
  <si>
    <t>adnan-st</t>
  </si>
  <si>
    <t>adnan</t>
  </si>
  <si>
    <t>imran-tfc</t>
  </si>
  <si>
    <t>imran</t>
  </si>
  <si>
    <t>31 Mbps</t>
  </si>
  <si>
    <t>Smart Network Database</t>
  </si>
  <si>
    <t>Area</t>
  </si>
  <si>
    <t>Total User</t>
  </si>
  <si>
    <t>Monthly Fee</t>
  </si>
  <si>
    <t>Arrears</t>
  </si>
  <si>
    <t>Recovery</t>
  </si>
  <si>
    <t>G. Balance</t>
  </si>
  <si>
    <t>Balance</t>
  </si>
  <si>
    <t>Total Cards</t>
  </si>
  <si>
    <t>Expense</t>
  </si>
  <si>
    <t xml:space="preserve">Total </t>
  </si>
  <si>
    <t>Total Amounts</t>
  </si>
  <si>
    <t>Total Balance</t>
  </si>
  <si>
    <t>Chak 60-P</t>
  </si>
  <si>
    <t>Name</t>
  </si>
  <si>
    <t>Package</t>
  </si>
  <si>
    <t>Service</t>
  </si>
  <si>
    <t>Remarks</t>
  </si>
  <si>
    <t>Abdul Wahab</t>
  </si>
  <si>
    <t xml:space="preserve">Sohail </t>
  </si>
  <si>
    <t>Umar NB</t>
  </si>
  <si>
    <t>hjnb                                                                       n</t>
  </si>
  <si>
    <t>Islam saudia</t>
  </si>
  <si>
    <t>Muzaffar</t>
  </si>
  <si>
    <t>Noor Parlar</t>
  </si>
  <si>
    <t>Qadeer</t>
  </si>
  <si>
    <t>Shainshah</t>
  </si>
  <si>
    <t>Hussnain</t>
  </si>
  <si>
    <t>Kaleem</t>
  </si>
  <si>
    <t>Raza</t>
  </si>
  <si>
    <t>Asif</t>
  </si>
  <si>
    <t>Dr Anwar</t>
  </si>
  <si>
    <t>Mazhar</t>
  </si>
  <si>
    <t>Anus</t>
  </si>
  <si>
    <t>Ahmad</t>
  </si>
  <si>
    <t>Shahid</t>
  </si>
  <si>
    <t>Kalyar</t>
  </si>
  <si>
    <t>Hamza</t>
  </si>
  <si>
    <t>YT Studio</t>
  </si>
  <si>
    <t>32 Mbps</t>
  </si>
  <si>
    <t>Jam Shoaib</t>
  </si>
  <si>
    <t>Akhtar</t>
  </si>
  <si>
    <t>Javaid SHOWROOM</t>
  </si>
  <si>
    <t>Nazeer</t>
  </si>
  <si>
    <t>Sakhi</t>
  </si>
  <si>
    <t>Waqar NB</t>
  </si>
  <si>
    <t>shaheer</t>
  </si>
  <si>
    <t>karamat</t>
  </si>
  <si>
    <t>Sajid</t>
  </si>
  <si>
    <t>Hassnain</t>
  </si>
  <si>
    <t>Mrs Shahid</t>
  </si>
  <si>
    <t xml:space="preserve">Faisal </t>
  </si>
  <si>
    <t>waqas</t>
  </si>
  <si>
    <t>Tahir Awan</t>
  </si>
  <si>
    <t>Ishfaq</t>
  </si>
  <si>
    <t>Salman</t>
  </si>
  <si>
    <t>usman St</t>
  </si>
  <si>
    <t>Nasir Khakwani</t>
  </si>
  <si>
    <t>Waqar Medicos</t>
  </si>
  <si>
    <t>Faysal Menu</t>
  </si>
  <si>
    <t>Kanwal Pan Shop</t>
  </si>
  <si>
    <t>Eload1</t>
  </si>
  <si>
    <t>Ali Khan</t>
  </si>
  <si>
    <t>Farooq</t>
  </si>
  <si>
    <t>Dr Aqeel</t>
  </si>
  <si>
    <t>Arif</t>
  </si>
  <si>
    <t>Ali</t>
  </si>
  <si>
    <t>ijaz</t>
  </si>
  <si>
    <t>Yousaf</t>
  </si>
  <si>
    <t>waseem</t>
  </si>
  <si>
    <t>rizwan</t>
  </si>
  <si>
    <t>asif</t>
  </si>
  <si>
    <t>zubair</t>
  </si>
  <si>
    <t>bilal</t>
  </si>
  <si>
    <t>qari ateeq</t>
  </si>
  <si>
    <t xml:space="preserve">Jam kashif </t>
  </si>
  <si>
    <t xml:space="preserve">Afzal </t>
  </si>
  <si>
    <t>jawad</t>
  </si>
  <si>
    <t>khalid</t>
  </si>
  <si>
    <t>Aqeel Punia</t>
  </si>
  <si>
    <t>Shabeer Bank</t>
  </si>
  <si>
    <t>Muneer Muna</t>
  </si>
  <si>
    <t>Saif ur Rehman</t>
  </si>
  <si>
    <t xml:space="preserve">Shamsheer </t>
  </si>
  <si>
    <t xml:space="preserve">Jam Aslam </t>
  </si>
  <si>
    <t>Ali Nafees</t>
  </si>
  <si>
    <t>Waheed Feroza</t>
  </si>
  <si>
    <t>Irfan Pco</t>
  </si>
  <si>
    <t>Jam Rehan</t>
  </si>
  <si>
    <t>Ali Babu</t>
  </si>
  <si>
    <t>Tayab Abbasi</t>
  </si>
  <si>
    <t>Jabar Bedani</t>
  </si>
  <si>
    <t>Shaikh Siddque</t>
  </si>
  <si>
    <t>Anus Abbasi</t>
  </si>
  <si>
    <t>Rashid</t>
  </si>
  <si>
    <t>Naveed Quraishi</t>
  </si>
  <si>
    <t>Ibtasam</t>
  </si>
  <si>
    <t>Ghafar Odh</t>
  </si>
  <si>
    <t>Ali Quraishi</t>
  </si>
  <si>
    <t>malik sabzi</t>
  </si>
  <si>
    <t>ilyas</t>
  </si>
  <si>
    <t>aqiib</t>
  </si>
  <si>
    <t>Irshad malik</t>
  </si>
  <si>
    <t>Talha Usman</t>
  </si>
  <si>
    <t>Imran Rc</t>
  </si>
  <si>
    <t>Shah g</t>
  </si>
  <si>
    <t>umar  Ghani</t>
  </si>
  <si>
    <t>Usman Saleem</t>
  </si>
  <si>
    <t>Abdullah Shop</t>
  </si>
  <si>
    <t>Usman Saher</t>
  </si>
  <si>
    <t xml:space="preserve">Adil </t>
  </si>
  <si>
    <t>Niaz</t>
  </si>
  <si>
    <t>Tahir</t>
  </si>
  <si>
    <t>Amjad</t>
  </si>
  <si>
    <t>Gulzar</t>
  </si>
  <si>
    <t>Tayab Qari</t>
  </si>
  <si>
    <t xml:space="preserve">Mujahid </t>
  </si>
  <si>
    <t>Mehboob</t>
  </si>
  <si>
    <t>Arslan</t>
  </si>
  <si>
    <t>Fareed</t>
  </si>
  <si>
    <t>Mubashir</t>
  </si>
  <si>
    <t>Ishaq Bedani</t>
  </si>
  <si>
    <t xml:space="preserve">Umer </t>
  </si>
  <si>
    <t>Umair saiwaram</t>
  </si>
  <si>
    <t>Khuram Thq</t>
  </si>
  <si>
    <t>Jalil Saiwaram</t>
  </si>
  <si>
    <t>Umar 60p</t>
  </si>
  <si>
    <t>qari Hazbullah</t>
  </si>
  <si>
    <t>Taha</t>
  </si>
  <si>
    <t>Zubair NB</t>
  </si>
  <si>
    <t>Mehmood Cotton</t>
  </si>
  <si>
    <t>City Medicoz</t>
  </si>
  <si>
    <t>Tanveer Ghotiyan</t>
  </si>
  <si>
    <t xml:space="preserve">Faizan </t>
  </si>
  <si>
    <t>Ishfaq99p</t>
  </si>
  <si>
    <t>Badar 99p</t>
  </si>
  <si>
    <t>Usman NB</t>
  </si>
  <si>
    <t>Umair 99p</t>
  </si>
  <si>
    <t xml:space="preserve">ARSHAD 98P </t>
  </si>
  <si>
    <t>Ghani Traders</t>
  </si>
  <si>
    <t>Hafiz CCTV</t>
  </si>
  <si>
    <t>Kashif Court</t>
  </si>
  <si>
    <t>Wazir Court</t>
  </si>
  <si>
    <t>Dr Maria</t>
  </si>
  <si>
    <t>Sami Bio</t>
  </si>
  <si>
    <t>Ali mt</t>
  </si>
  <si>
    <t>Asif Abbasi</t>
  </si>
  <si>
    <t>Nadeem bros</t>
  </si>
  <si>
    <t>Malik Medicos</t>
  </si>
  <si>
    <t>aftab complax</t>
  </si>
  <si>
    <t>Asad Compalx</t>
  </si>
  <si>
    <t>Akram Compalx</t>
  </si>
  <si>
    <t>Asif BTm</t>
  </si>
  <si>
    <t>FFC BTM</t>
  </si>
  <si>
    <t>Naseer</t>
  </si>
  <si>
    <t>Imran Badar</t>
  </si>
  <si>
    <t>Muneer</t>
  </si>
  <si>
    <t>Boys School</t>
  </si>
  <si>
    <t>Khalid</t>
  </si>
  <si>
    <t>Adeel</t>
  </si>
  <si>
    <t>Junaid</t>
  </si>
  <si>
    <t>Billal CCtv</t>
  </si>
  <si>
    <t>Kashif</t>
  </si>
  <si>
    <t>Khaliq</t>
  </si>
  <si>
    <t>Ali Ahmed</t>
  </si>
  <si>
    <t>Parwaiz</t>
  </si>
  <si>
    <t>Awais</t>
  </si>
  <si>
    <t>adeel Colony</t>
  </si>
  <si>
    <t>Iqbal Colony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</si>
</sst>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&quot;-&quot;??_);_(@_)"/>
  </numFmts>
  <fonts count="39">
    <font>
      <sz val="11"/>
      <color theme="1"/>
      <name val="Calibri"/>
      <charset val="134"/>
      <scheme val="minor"/>
    </font>
    <font>
      <b/>
      <sz val="34"/>
      <color rgb="FFDAEEF3"/>
      <name val="Algerian"/>
      <charset val="134"/>
    </font>
    <font>
      <sz val="11"/>
      <name val="Calibri"/>
      <charset val="134"/>
    </font>
    <font>
      <b/>
      <sz val="22"/>
      <color theme="0"/>
      <name val="Calibri"/>
      <charset val="134"/>
    </font>
    <font>
      <b/>
      <sz val="22"/>
      <color theme="1"/>
      <name val="Arial"/>
      <charset val="134"/>
    </font>
    <font>
      <b/>
      <sz val="22"/>
      <color theme="1"/>
      <name val="Arial Black"/>
      <charset val="134"/>
    </font>
    <font>
      <b/>
      <sz val="22"/>
      <color theme="0"/>
      <name val="Arial Black"/>
      <charset val="134"/>
    </font>
    <font>
      <b/>
      <sz val="22"/>
      <color rgb="FFC00000"/>
      <name val="Bahnschrift SemiLight"/>
      <charset val="134"/>
    </font>
    <font>
      <b/>
      <sz val="22"/>
      <color rgb="FFC00000"/>
      <name val="Bahnschrift SemiCondensed"/>
      <charset val="134"/>
    </font>
    <font>
      <b/>
      <sz val="22"/>
      <color rgb="FFC00000"/>
      <name val="Federo"/>
      <charset val="134"/>
    </font>
    <font>
      <b/>
      <sz val="22"/>
      <color rgb="FFC00000"/>
      <name val="Bahnschrift SemiBold SemiConden"/>
      <charset val="134"/>
    </font>
    <font>
      <b/>
      <sz val="22"/>
      <color rgb="FFC00000"/>
      <name val="Bahnschrift SemiBold"/>
      <charset val="134"/>
    </font>
    <font>
      <b/>
      <sz val="16"/>
      <color rgb="FFFFFF00"/>
      <name val="Calibri"/>
      <charset val="134"/>
    </font>
    <font>
      <b/>
      <sz val="16"/>
      <color theme="1"/>
      <name val="Calibri"/>
      <charset val="134"/>
    </font>
    <font>
      <sz val="11"/>
      <color theme="1"/>
      <name val="Calibri"/>
      <charset val="134"/>
    </font>
    <font>
      <b/>
      <sz val="16"/>
      <color theme="0"/>
      <name val="Calibri"/>
      <charset val="134"/>
    </font>
    <font>
      <b/>
      <sz val="16"/>
      <color theme="1"/>
      <name val="Arial"/>
      <charset val="134"/>
    </font>
    <font>
      <b/>
      <sz val="16"/>
      <color theme="1"/>
      <name val="Arial Black"/>
      <charset val="134"/>
    </font>
    <font>
      <b/>
      <sz val="28"/>
      <color theme="0"/>
      <name val="Federo"/>
      <charset val="134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5"/>
        <bgColor theme="5"/>
      </patternFill>
    </fill>
    <fill>
      <patternFill patternType="solid">
        <fgColor rgb="FFFBD4B4"/>
        <bgColor rgb="FFFBD4B4"/>
      </patternFill>
    </fill>
    <fill>
      <patternFill patternType="solid">
        <fgColor rgb="FF5F497A"/>
        <bgColor rgb="FF5F497A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  <fill>
      <patternFill patternType="solid">
        <fgColor rgb="FF31859B"/>
        <bgColor rgb="FF31859B"/>
      </patternFill>
    </fill>
    <fill>
      <patternFill patternType="solid">
        <fgColor rgb="FFC2D69B"/>
        <bgColor rgb="FFC2D69B"/>
      </patternFill>
    </fill>
    <fill>
      <patternFill patternType="solid">
        <fgColor rgb="FF4F6128"/>
        <bgColor rgb="FF4F6128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599993896298105"/>
        <bgColor rgb="FF0070C0"/>
      </patternFill>
    </fill>
    <fill>
      <patternFill patternType="solid">
        <fgColor theme="8" tint="-0.249977111117893"/>
        <bgColor rgb="FF00B05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2" borderId="1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3" borderId="14" applyNumberFormat="0" applyAlignment="0" applyProtection="0">
      <alignment vertical="center"/>
    </xf>
    <xf numFmtId="0" fontId="29" fillId="24" borderId="15" applyNumberFormat="0" applyAlignment="0" applyProtection="0">
      <alignment vertical="center"/>
    </xf>
    <xf numFmtId="0" fontId="30" fillId="24" borderId="14" applyNumberFormat="0" applyAlignment="0" applyProtection="0">
      <alignment vertical="center"/>
    </xf>
    <xf numFmtId="0" fontId="31" fillId="25" borderId="16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</cellStyleXfs>
  <cellXfs count="6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2" xfId="0" applyFont="1" applyFill="1" applyBorder="1" applyAlignment="1">
      <alignment horizontal="center" vertical="center"/>
    </xf>
    <xf numFmtId="0" fontId="4" fillId="0" borderId="2" xfId="0" applyFont="1" applyBorder="1"/>
    <xf numFmtId="178" fontId="5" fillId="0" borderId="2" xfId="0" applyNumberFormat="1" applyFont="1" applyBorder="1" applyAlignment="1">
      <alignment horizontal="right" vertical="center"/>
    </xf>
    <xf numFmtId="178" fontId="5" fillId="0" borderId="2" xfId="0" applyNumberFormat="1" applyFont="1" applyBorder="1" applyAlignment="1">
      <alignment horizontal="center" vertical="center"/>
    </xf>
    <xf numFmtId="178" fontId="6" fillId="4" borderId="2" xfId="0" applyNumberFormat="1" applyFont="1" applyFill="1" applyBorder="1" applyAlignment="1">
      <alignment horizontal="center" vertical="center"/>
    </xf>
    <xf numFmtId="178" fontId="6" fillId="3" borderId="0" xfId="0" applyNumberFormat="1" applyFont="1" applyFill="1" applyBorder="1" applyAlignment="1">
      <alignment horizontal="center" vertical="center"/>
    </xf>
    <xf numFmtId="178" fontId="7" fillId="3" borderId="3" xfId="0" applyNumberFormat="1" applyFont="1" applyFill="1" applyBorder="1" applyAlignment="1">
      <alignment horizontal="center" vertical="center"/>
    </xf>
    <xf numFmtId="178" fontId="8" fillId="3" borderId="3" xfId="0" applyNumberFormat="1" applyFont="1" applyFill="1" applyBorder="1" applyAlignment="1">
      <alignment horizontal="center" vertical="center"/>
    </xf>
    <xf numFmtId="178" fontId="9" fillId="3" borderId="3" xfId="0" applyNumberFormat="1" applyFont="1" applyFill="1" applyBorder="1" applyAlignment="1">
      <alignment horizontal="center" vertical="center"/>
    </xf>
    <xf numFmtId="178" fontId="10" fillId="3" borderId="3" xfId="0" applyNumberFormat="1" applyFont="1" applyFill="1" applyBorder="1" applyAlignment="1">
      <alignment horizontal="center" vertical="center"/>
    </xf>
    <xf numFmtId="178" fontId="11" fillId="3" borderId="3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1" fontId="12" fillId="5" borderId="2" xfId="0" applyNumberFormat="1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1" fontId="13" fillId="9" borderId="2" xfId="0" applyNumberFormat="1" applyFont="1" applyFill="1" applyBorder="1" applyAlignment="1">
      <alignment horizontal="center" vertical="center"/>
    </xf>
    <xf numFmtId="0" fontId="14" fillId="0" borderId="0" xfId="0" applyFont="1"/>
    <xf numFmtId="0" fontId="13" fillId="10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1" fontId="14" fillId="0" borderId="0" xfId="0" applyNumberFormat="1" applyFont="1"/>
    <xf numFmtId="0" fontId="0" fillId="0" borderId="0" xfId="0" applyFont="1" applyFill="1" applyAlignment="1"/>
    <xf numFmtId="0" fontId="16" fillId="16" borderId="2" xfId="0" applyFont="1" applyFill="1" applyBorder="1"/>
    <xf numFmtId="178" fontId="17" fillId="16" borderId="2" xfId="0" applyNumberFormat="1" applyFont="1" applyFill="1" applyBorder="1" applyAlignment="1">
      <alignment horizontal="right" vertical="center"/>
    </xf>
    <xf numFmtId="178" fontId="17" fillId="16" borderId="2" xfId="0" applyNumberFormat="1" applyFont="1" applyFill="1" applyBorder="1" applyAlignment="1">
      <alignment horizontal="center" vertical="center"/>
    </xf>
    <xf numFmtId="178" fontId="17" fillId="17" borderId="2" xfId="0" applyNumberFormat="1" applyFont="1" applyFill="1" applyBorder="1" applyAlignment="1">
      <alignment horizontal="center" vertical="center"/>
    </xf>
    <xf numFmtId="178" fontId="18" fillId="18" borderId="3" xfId="0" applyNumberFormat="1" applyFont="1" applyFill="1" applyBorder="1" applyAlignment="1">
      <alignment horizontal="center" vertical="center"/>
    </xf>
    <xf numFmtId="0" fontId="19" fillId="19" borderId="5" xfId="0" applyFont="1" applyFill="1" applyBorder="1" applyAlignment="1">
      <alignment wrapText="1"/>
    </xf>
    <xf numFmtId="0" fontId="19" fillId="0" borderId="5" xfId="0" applyFont="1" applyBorder="1" applyAlignment="1">
      <alignment wrapText="1"/>
    </xf>
    <xf numFmtId="0" fontId="19" fillId="0" borderId="5" xfId="0" applyFont="1" applyFill="1" applyBorder="1" applyAlignment="1">
      <alignment wrapText="1"/>
    </xf>
    <xf numFmtId="0" fontId="13" fillId="0" borderId="2" xfId="0" applyFont="1" applyFill="1" applyBorder="1" applyAlignment="1">
      <alignment horizontal="center" vertical="center"/>
    </xf>
    <xf numFmtId="1" fontId="13" fillId="0" borderId="2" xfId="0" applyNumberFormat="1" applyFont="1" applyFill="1" applyBorder="1" applyAlignment="1">
      <alignment horizontal="center" vertical="center"/>
    </xf>
    <xf numFmtId="0" fontId="19" fillId="20" borderId="5" xfId="0" applyFont="1" applyFill="1" applyBorder="1" applyAlignment="1">
      <alignment wrapText="1"/>
    </xf>
    <xf numFmtId="0" fontId="13" fillId="20" borderId="2" xfId="0" applyFont="1" applyFill="1" applyBorder="1" applyAlignment="1">
      <alignment horizontal="center" vertical="center"/>
    </xf>
    <xf numFmtId="1" fontId="13" fillId="21" borderId="2" xfId="0" applyNumberFormat="1" applyFont="1" applyFill="1" applyBorder="1" applyAlignment="1">
      <alignment horizontal="center" vertical="center"/>
    </xf>
    <xf numFmtId="0" fontId="14" fillId="0" borderId="0" xfId="0" applyFont="1" applyFill="1"/>
    <xf numFmtId="0" fontId="15" fillId="15" borderId="6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wrapText="1"/>
    </xf>
    <xf numFmtId="1" fontId="13" fillId="0" borderId="6" xfId="0" applyNumberFormat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" fontId="14" fillId="0" borderId="9" xfId="0" applyNumberFormat="1" applyFont="1" applyBorder="1"/>
    <xf numFmtId="0" fontId="13" fillId="0" borderId="3" xfId="0" applyFont="1" applyBorder="1" applyAlignment="1">
      <alignment horizontal="center" vertical="center"/>
    </xf>
    <xf numFmtId="0" fontId="19" fillId="19" borderId="7" xfId="0" applyFont="1" applyFill="1" applyBorder="1" applyAlignment="1">
      <alignment wrapText="1"/>
    </xf>
    <xf numFmtId="0" fontId="19" fillId="0" borderId="0" xfId="0" applyFont="1" applyAlignment="1"/>
    <xf numFmtId="0" fontId="15" fillId="15" borderId="10" xfId="0" applyFont="1" applyFill="1" applyBorder="1" applyAlignment="1">
      <alignment horizontal="center" vertical="center"/>
    </xf>
    <xf numFmtId="0" fontId="0" fillId="0" borderId="9" xfId="0" applyFont="1" applyBorder="1" applyAlignment="1"/>
    <xf numFmtId="1" fontId="13" fillId="9" borderId="10" xfId="0" applyNumberFormat="1" applyFont="1" applyFill="1" applyBorder="1" applyAlignment="1">
      <alignment horizontal="center" vertical="center"/>
    </xf>
    <xf numFmtId="0" fontId="0" fillId="0" borderId="0" xfId="0" applyFont="1" applyBorder="1" applyAlignment="1"/>
    <xf numFmtId="0" fontId="19" fillId="0" borderId="9" xfId="0" applyFont="1" applyFill="1" applyBorder="1" applyAlignment="1">
      <alignment wrapText="1"/>
    </xf>
    <xf numFmtId="1" fontId="13" fillId="9" borderId="4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tabSelected="1" topLeftCell="A180" workbookViewId="0">
      <selection activeCell="B193" sqref="B193"/>
    </sheetView>
  </sheetViews>
  <sheetFormatPr defaultColWidth="9.14285714285714" defaultRowHeight="15" outlineLevelCol="6"/>
  <cols>
    <col min="1" max="1" width="20.5714285714286" customWidth="1"/>
    <col min="2" max="2" width="26.4285714285714" customWidth="1"/>
    <col min="3" max="3" width="22.7142857142857" customWidth="1"/>
    <col min="4" max="4" width="12.8571428571429" customWidth="1"/>
    <col min="5" max="5" width="14.4285714285714" customWidth="1"/>
    <col min="6" max="6" width="23.1428571428571" customWidth="1"/>
    <col min="7" max="7" width="20.2857142857143" customWidth="1"/>
  </cols>
  <sheetData>
    <row r="1" ht="21.75" spans="1:7">
      <c r="A1" s="14" t="s">
        <v>0</v>
      </c>
      <c r="B1" s="15" t="s">
        <v>1</v>
      </c>
      <c r="C1" s="15" t="s">
        <v>2</v>
      </c>
      <c r="D1" s="15" t="s">
        <v>3</v>
      </c>
      <c r="E1" s="14" t="s">
        <v>4</v>
      </c>
      <c r="F1" s="15" t="s">
        <v>5</v>
      </c>
      <c r="G1" s="16" t="s">
        <v>6</v>
      </c>
    </row>
    <row r="2" ht="42.75" spans="1:7">
      <c r="A2" s="40" t="s">
        <v>7</v>
      </c>
      <c r="B2" s="41" t="s">
        <v>8</v>
      </c>
      <c r="C2" s="18" t="s">
        <v>9</v>
      </c>
      <c r="D2" s="19" t="s">
        <v>10</v>
      </c>
      <c r="E2" s="19">
        <v>1500</v>
      </c>
      <c r="F2" s="19" t="s">
        <v>11</v>
      </c>
      <c r="G2" s="20">
        <v>554</v>
      </c>
    </row>
    <row r="3" ht="21.75" spans="1:7">
      <c r="A3" s="40" t="s">
        <v>12</v>
      </c>
      <c r="B3" s="41" t="s">
        <v>13</v>
      </c>
      <c r="C3" s="18" t="s">
        <v>9</v>
      </c>
      <c r="D3" s="19" t="s">
        <v>10</v>
      </c>
      <c r="E3" s="19">
        <v>1500</v>
      </c>
      <c r="F3" s="19" t="s">
        <v>11</v>
      </c>
      <c r="G3" s="20">
        <v>554</v>
      </c>
    </row>
    <row r="4" ht="21.75" spans="1:7">
      <c r="A4" s="40" t="s">
        <v>14</v>
      </c>
      <c r="B4" s="41" t="s">
        <v>15</v>
      </c>
      <c r="C4" s="18" t="s">
        <v>9</v>
      </c>
      <c r="D4" s="19" t="s">
        <v>10</v>
      </c>
      <c r="E4" s="19">
        <v>1300</v>
      </c>
      <c r="F4" s="19" t="s">
        <v>11</v>
      </c>
      <c r="G4" s="20">
        <v>554</v>
      </c>
    </row>
    <row r="5" ht="42.75" spans="1:7">
      <c r="A5" s="41" t="s">
        <v>16</v>
      </c>
      <c r="B5" s="41" t="s">
        <v>17</v>
      </c>
      <c r="C5" s="18" t="s">
        <v>9</v>
      </c>
      <c r="D5" s="19" t="s">
        <v>10</v>
      </c>
      <c r="E5" s="19">
        <v>1300</v>
      </c>
      <c r="F5" s="19" t="s">
        <v>11</v>
      </c>
      <c r="G5" s="20">
        <v>554</v>
      </c>
    </row>
    <row r="6" ht="42.75" spans="1:7">
      <c r="A6" s="40" t="s">
        <v>18</v>
      </c>
      <c r="B6" s="41" t="s">
        <v>19</v>
      </c>
      <c r="C6" s="18" t="s">
        <v>9</v>
      </c>
      <c r="D6" s="19" t="s">
        <v>10</v>
      </c>
      <c r="E6" s="19">
        <v>1300</v>
      </c>
      <c r="F6" s="19" t="s">
        <v>11</v>
      </c>
      <c r="G6" s="20">
        <v>600</v>
      </c>
    </row>
    <row r="7" ht="21.75" spans="1:7">
      <c r="A7" s="41" t="s">
        <v>20</v>
      </c>
      <c r="B7" s="41" t="s">
        <v>21</v>
      </c>
      <c r="C7" s="18" t="s">
        <v>9</v>
      </c>
      <c r="D7" s="19" t="s">
        <v>22</v>
      </c>
      <c r="E7" s="19">
        <v>2000</v>
      </c>
      <c r="F7" s="19" t="s">
        <v>11</v>
      </c>
      <c r="G7" s="20">
        <v>800</v>
      </c>
    </row>
    <row r="8" ht="21.75" spans="1:7">
      <c r="A8" s="41" t="s">
        <v>23</v>
      </c>
      <c r="B8" s="41" t="s">
        <v>24</v>
      </c>
      <c r="C8" s="18" t="s">
        <v>9</v>
      </c>
      <c r="D8" s="19" t="s">
        <v>10</v>
      </c>
      <c r="E8" s="19">
        <v>1300</v>
      </c>
      <c r="F8" s="19" t="s">
        <v>11</v>
      </c>
      <c r="G8" s="20">
        <v>600</v>
      </c>
    </row>
    <row r="9" ht="21.75" spans="1:7">
      <c r="A9" s="41" t="s">
        <v>25</v>
      </c>
      <c r="B9" s="41" t="s">
        <v>26</v>
      </c>
      <c r="C9" s="18" t="s">
        <v>9</v>
      </c>
      <c r="D9" s="19" t="s">
        <v>10</v>
      </c>
      <c r="E9" s="19">
        <v>1300</v>
      </c>
      <c r="F9" s="19" t="s">
        <v>11</v>
      </c>
      <c r="G9" s="20">
        <v>600</v>
      </c>
    </row>
    <row r="10" ht="21.75" spans="1:7">
      <c r="A10" s="41" t="s">
        <v>27</v>
      </c>
      <c r="B10" s="41" t="s">
        <v>28</v>
      </c>
      <c r="C10" s="18" t="s">
        <v>9</v>
      </c>
      <c r="D10" s="19" t="s">
        <v>22</v>
      </c>
      <c r="E10" s="19">
        <v>1300</v>
      </c>
      <c r="F10" s="19" t="s">
        <v>11</v>
      </c>
      <c r="G10" s="20">
        <v>600</v>
      </c>
    </row>
    <row r="11" ht="42.75" spans="1:7">
      <c r="A11" s="41" t="s">
        <v>29</v>
      </c>
      <c r="B11" s="41" t="s">
        <v>30</v>
      </c>
      <c r="C11" s="18" t="s">
        <v>9</v>
      </c>
      <c r="D11" s="19" t="s">
        <v>10</v>
      </c>
      <c r="E11" s="19">
        <v>1300</v>
      </c>
      <c r="F11" s="19" t="s">
        <v>11</v>
      </c>
      <c r="G11" s="20">
        <v>1200</v>
      </c>
    </row>
    <row r="12" ht="21.75" spans="1:7">
      <c r="A12" s="41" t="s">
        <v>31</v>
      </c>
      <c r="B12" s="41" t="s">
        <v>32</v>
      </c>
      <c r="C12" s="18" t="s">
        <v>9</v>
      </c>
      <c r="D12" s="19" t="s">
        <v>10</v>
      </c>
      <c r="E12" s="19">
        <v>1500</v>
      </c>
      <c r="F12" s="19" t="s">
        <v>11</v>
      </c>
      <c r="G12" s="20">
        <v>1200</v>
      </c>
    </row>
    <row r="13" ht="21.75" spans="1:7">
      <c r="A13" s="41" t="s">
        <v>33</v>
      </c>
      <c r="B13" s="41" t="s">
        <v>34</v>
      </c>
      <c r="C13" s="18" t="s">
        <v>9</v>
      </c>
      <c r="D13" s="19" t="s">
        <v>10</v>
      </c>
      <c r="E13" s="19">
        <v>1000</v>
      </c>
      <c r="F13" s="19" t="s">
        <v>11</v>
      </c>
      <c r="G13" s="20">
        <v>600</v>
      </c>
    </row>
    <row r="14" ht="42.75" spans="1:7">
      <c r="A14" s="41" t="s">
        <v>35</v>
      </c>
      <c r="B14" s="41" t="s">
        <v>36</v>
      </c>
      <c r="C14" s="18" t="s">
        <v>9</v>
      </c>
      <c r="D14" s="19" t="s">
        <v>10</v>
      </c>
      <c r="E14" s="19">
        <v>1300</v>
      </c>
      <c r="F14" s="19" t="s">
        <v>11</v>
      </c>
      <c r="G14" s="20">
        <v>600</v>
      </c>
    </row>
    <row r="15" ht="42.75" spans="1:7">
      <c r="A15" s="41" t="s">
        <v>37</v>
      </c>
      <c r="B15" s="41" t="s">
        <v>38</v>
      </c>
      <c r="C15" s="18" t="s">
        <v>9</v>
      </c>
      <c r="D15" s="19" t="s">
        <v>10</v>
      </c>
      <c r="E15" s="19">
        <v>1500</v>
      </c>
      <c r="F15" s="19" t="s">
        <v>11</v>
      </c>
      <c r="G15" s="20">
        <v>600</v>
      </c>
    </row>
    <row r="16" ht="21.75" spans="1:7">
      <c r="A16" s="41" t="s">
        <v>39</v>
      </c>
      <c r="B16" s="41" t="s">
        <v>40</v>
      </c>
      <c r="C16" s="18" t="s">
        <v>9</v>
      </c>
      <c r="D16" s="19" t="s">
        <v>10</v>
      </c>
      <c r="E16" s="19">
        <v>1300</v>
      </c>
      <c r="F16" s="19" t="s">
        <v>11</v>
      </c>
      <c r="G16" s="20">
        <v>600</v>
      </c>
    </row>
    <row r="17" ht="21.75" spans="1:7">
      <c r="A17" s="41" t="s">
        <v>41</v>
      </c>
      <c r="B17" s="41" t="s">
        <v>42</v>
      </c>
      <c r="C17" s="18" t="s">
        <v>9</v>
      </c>
      <c r="D17" s="19" t="s">
        <v>10</v>
      </c>
      <c r="E17" s="19">
        <v>1300</v>
      </c>
      <c r="F17" s="19" t="s">
        <v>11</v>
      </c>
      <c r="G17" s="20">
        <v>600</v>
      </c>
    </row>
    <row r="18" ht="21.75" spans="1:7">
      <c r="A18" s="41" t="s">
        <v>43</v>
      </c>
      <c r="B18" s="41" t="s">
        <v>44</v>
      </c>
      <c r="C18" s="18" t="s">
        <v>9</v>
      </c>
      <c r="D18" s="19" t="s">
        <v>10</v>
      </c>
      <c r="E18" s="19">
        <v>1500</v>
      </c>
      <c r="F18" s="19" t="s">
        <v>11</v>
      </c>
      <c r="G18" s="20">
        <v>1200</v>
      </c>
    </row>
    <row r="19" ht="42.75" spans="1:7">
      <c r="A19" s="41" t="s">
        <v>45</v>
      </c>
      <c r="B19" s="41" t="s">
        <v>46</v>
      </c>
      <c r="C19" s="18" t="s">
        <v>9</v>
      </c>
      <c r="D19" s="19" t="s">
        <v>10</v>
      </c>
      <c r="E19" s="19">
        <v>4500</v>
      </c>
      <c r="F19" s="19" t="s">
        <v>11</v>
      </c>
      <c r="G19" s="20">
        <v>2500</v>
      </c>
    </row>
    <row r="20" ht="21.75" spans="1:7">
      <c r="A20" s="41" t="s">
        <v>47</v>
      </c>
      <c r="B20" s="41" t="s">
        <v>48</v>
      </c>
      <c r="C20" s="18" t="s">
        <v>9</v>
      </c>
      <c r="D20" s="19" t="s">
        <v>10</v>
      </c>
      <c r="E20" s="19">
        <v>1500</v>
      </c>
      <c r="F20" s="19" t="s">
        <v>11</v>
      </c>
      <c r="G20" s="20">
        <v>600</v>
      </c>
    </row>
    <row r="21" ht="21.75" spans="1:7">
      <c r="A21" s="41" t="s">
        <v>49</v>
      </c>
      <c r="B21" s="41" t="s">
        <v>50</v>
      </c>
      <c r="C21" s="18" t="s">
        <v>9</v>
      </c>
      <c r="D21" s="19" t="s">
        <v>10</v>
      </c>
      <c r="E21" s="19">
        <v>1500</v>
      </c>
      <c r="F21" s="19" t="s">
        <v>11</v>
      </c>
      <c r="G21" s="20">
        <v>600</v>
      </c>
    </row>
    <row r="22" ht="21.75" spans="1:7">
      <c r="A22" s="41" t="s">
        <v>51</v>
      </c>
      <c r="B22" s="41" t="s">
        <v>52</v>
      </c>
      <c r="C22" s="18" t="s">
        <v>9</v>
      </c>
      <c r="D22" s="19" t="s">
        <v>10</v>
      </c>
      <c r="E22" s="19">
        <v>2000</v>
      </c>
      <c r="F22" s="19" t="s">
        <v>11</v>
      </c>
      <c r="G22" s="20">
        <v>1200</v>
      </c>
    </row>
    <row r="23" ht="21.75" spans="1:7">
      <c r="A23" s="41" t="s">
        <v>53</v>
      </c>
      <c r="B23" s="41" t="s">
        <v>54</v>
      </c>
      <c r="C23" s="18" t="s">
        <v>9</v>
      </c>
      <c r="D23" s="19" t="s">
        <v>10</v>
      </c>
      <c r="E23" s="19">
        <v>1800</v>
      </c>
      <c r="F23" s="19" t="s">
        <v>11</v>
      </c>
      <c r="G23" s="20">
        <v>800</v>
      </c>
    </row>
    <row r="24" ht="21.75" spans="1:7">
      <c r="A24" s="41" t="s">
        <v>55</v>
      </c>
      <c r="B24" s="41" t="s">
        <v>56</v>
      </c>
      <c r="C24" s="18" t="s">
        <v>9</v>
      </c>
      <c r="D24" s="19" t="s">
        <v>10</v>
      </c>
      <c r="E24" s="19">
        <v>2000</v>
      </c>
      <c r="F24" s="19" t="s">
        <v>11</v>
      </c>
      <c r="G24" s="20">
        <v>600</v>
      </c>
    </row>
    <row r="25" ht="21.75" spans="1:7">
      <c r="A25" s="41" t="s">
        <v>57</v>
      </c>
      <c r="B25" s="41" t="s">
        <v>58</v>
      </c>
      <c r="C25" s="18" t="s">
        <v>9</v>
      </c>
      <c r="D25" s="19" t="s">
        <v>10</v>
      </c>
      <c r="E25" s="19">
        <v>1300</v>
      </c>
      <c r="F25" s="19" t="s">
        <v>11</v>
      </c>
      <c r="G25" s="20">
        <v>600</v>
      </c>
    </row>
    <row r="26" ht="42.75" spans="1:7">
      <c r="A26" s="41" t="s">
        <v>59</v>
      </c>
      <c r="B26" s="41" t="s">
        <v>60</v>
      </c>
      <c r="C26" s="18" t="s">
        <v>9</v>
      </c>
      <c r="D26" s="19" t="s">
        <v>10</v>
      </c>
      <c r="E26" s="19">
        <v>1300</v>
      </c>
      <c r="F26" s="19" t="s">
        <v>11</v>
      </c>
      <c r="G26" s="20">
        <v>600</v>
      </c>
    </row>
    <row r="27" ht="21.75" spans="1:7">
      <c r="A27" s="41" t="s">
        <v>61</v>
      </c>
      <c r="B27" s="41" t="s">
        <v>62</v>
      </c>
      <c r="C27" s="18" t="s">
        <v>9</v>
      </c>
      <c r="D27" s="19" t="s">
        <v>10</v>
      </c>
      <c r="E27" s="19">
        <v>0</v>
      </c>
      <c r="F27" s="19" t="s">
        <v>11</v>
      </c>
      <c r="G27" s="20">
        <v>600</v>
      </c>
    </row>
    <row r="28" ht="21.75" spans="1:7">
      <c r="A28" s="41" t="s">
        <v>63</v>
      </c>
      <c r="B28" s="41" t="s">
        <v>64</v>
      </c>
      <c r="C28" s="17" t="s">
        <v>65</v>
      </c>
      <c r="D28" s="19" t="s">
        <v>10</v>
      </c>
      <c r="E28" s="19">
        <v>1000</v>
      </c>
      <c r="F28" s="19" t="s">
        <v>11</v>
      </c>
      <c r="G28" s="20">
        <v>800</v>
      </c>
    </row>
    <row r="29" ht="21.75" spans="1:7">
      <c r="A29" s="41" t="s">
        <v>66</v>
      </c>
      <c r="B29" s="41" t="s">
        <v>67</v>
      </c>
      <c r="C29" s="17" t="s">
        <v>65</v>
      </c>
      <c r="D29" s="19" t="s">
        <v>10</v>
      </c>
      <c r="E29" s="19">
        <v>800</v>
      </c>
      <c r="F29" s="19" t="s">
        <v>11</v>
      </c>
      <c r="G29" s="20">
        <v>800</v>
      </c>
    </row>
    <row r="30" ht="42.75" spans="1:7">
      <c r="A30" s="41" t="s">
        <v>68</v>
      </c>
      <c r="B30" s="41" t="s">
        <v>69</v>
      </c>
      <c r="C30" s="17" t="s">
        <v>65</v>
      </c>
      <c r="D30" s="19" t="s">
        <v>10</v>
      </c>
      <c r="E30" s="19">
        <v>1500</v>
      </c>
      <c r="F30" s="19" t="s">
        <v>11</v>
      </c>
      <c r="G30" s="20">
        <v>600</v>
      </c>
    </row>
    <row r="31" ht="42.75" spans="1:7">
      <c r="A31" s="42" t="s">
        <v>70</v>
      </c>
      <c r="B31" s="41" t="s">
        <v>71</v>
      </c>
      <c r="C31" s="17" t="s">
        <v>65</v>
      </c>
      <c r="D31" s="19" t="s">
        <v>10</v>
      </c>
      <c r="E31" s="19">
        <v>1800</v>
      </c>
      <c r="F31" s="19" t="s">
        <v>11</v>
      </c>
      <c r="G31" s="20">
        <v>600</v>
      </c>
    </row>
    <row r="32" ht="42.75" spans="1:7">
      <c r="A32" s="41" t="s">
        <v>72</v>
      </c>
      <c r="B32" s="41" t="s">
        <v>73</v>
      </c>
      <c r="C32" s="17" t="s">
        <v>65</v>
      </c>
      <c r="D32" s="19" t="s">
        <v>10</v>
      </c>
      <c r="E32" s="19">
        <v>1300</v>
      </c>
      <c r="F32" s="19" t="s">
        <v>11</v>
      </c>
      <c r="G32" s="20">
        <v>600</v>
      </c>
    </row>
    <row r="33" ht="21.75" spans="1:7">
      <c r="A33" s="41" t="s">
        <v>74</v>
      </c>
      <c r="B33" s="41" t="s">
        <v>75</v>
      </c>
      <c r="C33" s="17" t="s">
        <v>65</v>
      </c>
      <c r="D33" s="19" t="s">
        <v>10</v>
      </c>
      <c r="E33" s="19">
        <v>1300</v>
      </c>
      <c r="F33" s="19" t="s">
        <v>11</v>
      </c>
      <c r="G33" s="20">
        <v>1200</v>
      </c>
    </row>
    <row r="34" ht="21.75" spans="1:7">
      <c r="A34" s="41" t="s">
        <v>76</v>
      </c>
      <c r="B34" s="41" t="s">
        <v>77</v>
      </c>
      <c r="C34" s="17" t="s">
        <v>65</v>
      </c>
      <c r="D34" s="19" t="s">
        <v>10</v>
      </c>
      <c r="E34" s="19">
        <v>1000</v>
      </c>
      <c r="F34" s="19" t="s">
        <v>11</v>
      </c>
      <c r="G34" s="20">
        <v>600</v>
      </c>
    </row>
    <row r="35" ht="21.75" spans="1:7">
      <c r="A35" s="41" t="s">
        <v>78</v>
      </c>
      <c r="B35" s="41" t="s">
        <v>79</v>
      </c>
      <c r="C35" s="17" t="s">
        <v>65</v>
      </c>
      <c r="D35" s="19" t="s">
        <v>80</v>
      </c>
      <c r="E35" s="19">
        <v>2000</v>
      </c>
      <c r="F35" s="19" t="s">
        <v>11</v>
      </c>
      <c r="G35" s="20">
        <v>601</v>
      </c>
    </row>
    <row r="36" ht="21.75" spans="1:7">
      <c r="A36" s="41" t="s">
        <v>81</v>
      </c>
      <c r="B36" s="41" t="s">
        <v>82</v>
      </c>
      <c r="C36" s="17" t="s">
        <v>65</v>
      </c>
      <c r="D36" s="19" t="s">
        <v>83</v>
      </c>
      <c r="E36" s="19">
        <v>1300</v>
      </c>
      <c r="F36" s="19" t="s">
        <v>11</v>
      </c>
      <c r="G36" s="20">
        <v>600</v>
      </c>
    </row>
    <row r="37" ht="21.75" spans="1:7">
      <c r="A37" s="41" t="s">
        <v>84</v>
      </c>
      <c r="B37" s="41" t="s">
        <v>85</v>
      </c>
      <c r="C37" s="21" t="s">
        <v>65</v>
      </c>
      <c r="D37" s="19" t="s">
        <v>10</v>
      </c>
      <c r="E37" s="19">
        <v>1000</v>
      </c>
      <c r="F37" s="19" t="s">
        <v>11</v>
      </c>
      <c r="G37" s="20">
        <v>600</v>
      </c>
    </row>
    <row r="38" ht="21.75" spans="1:7">
      <c r="A38" s="41" t="s">
        <v>86</v>
      </c>
      <c r="B38" s="41" t="s">
        <v>87</v>
      </c>
      <c r="C38" s="21" t="s">
        <v>65</v>
      </c>
      <c r="D38" s="19" t="s">
        <v>10</v>
      </c>
      <c r="E38" s="19">
        <v>1000</v>
      </c>
      <c r="F38" s="19" t="s">
        <v>11</v>
      </c>
      <c r="G38" s="20">
        <v>600</v>
      </c>
    </row>
    <row r="39" ht="42.75" spans="1:7">
      <c r="A39" s="41" t="s">
        <v>88</v>
      </c>
      <c r="B39" s="41" t="s">
        <v>89</v>
      </c>
      <c r="C39" s="21" t="s">
        <v>65</v>
      </c>
      <c r="D39" s="19" t="s">
        <v>10</v>
      </c>
      <c r="E39" s="19">
        <v>1300</v>
      </c>
      <c r="F39" s="19" t="s">
        <v>11</v>
      </c>
      <c r="G39" s="20">
        <v>600</v>
      </c>
    </row>
    <row r="40" ht="21.75" spans="1:7">
      <c r="A40" s="41" t="s">
        <v>90</v>
      </c>
      <c r="B40" s="41" t="s">
        <v>91</v>
      </c>
      <c r="C40" s="21" t="s">
        <v>65</v>
      </c>
      <c r="D40" s="19" t="s">
        <v>22</v>
      </c>
      <c r="E40" s="19">
        <v>1300</v>
      </c>
      <c r="F40" s="19" t="s">
        <v>11</v>
      </c>
      <c r="G40" s="20">
        <v>600</v>
      </c>
    </row>
    <row r="41" ht="21.75" spans="1:7">
      <c r="A41" s="41" t="s">
        <v>92</v>
      </c>
      <c r="B41" s="41" t="s">
        <v>93</v>
      </c>
      <c r="C41" s="21" t="s">
        <v>65</v>
      </c>
      <c r="D41" s="19" t="s">
        <v>10</v>
      </c>
      <c r="E41" s="19">
        <v>1000</v>
      </c>
      <c r="F41" s="19" t="s">
        <v>11</v>
      </c>
      <c r="G41" s="20">
        <v>600</v>
      </c>
    </row>
    <row r="42" ht="21.75" spans="1:7">
      <c r="A42" s="41" t="s">
        <v>94</v>
      </c>
      <c r="B42" s="41" t="s">
        <v>95</v>
      </c>
      <c r="C42" s="21" t="s">
        <v>65</v>
      </c>
      <c r="D42" s="19" t="s">
        <v>22</v>
      </c>
      <c r="E42" s="19">
        <v>1500</v>
      </c>
      <c r="F42" s="19" t="s">
        <v>11</v>
      </c>
      <c r="G42" s="20">
        <v>800</v>
      </c>
    </row>
    <row r="43" ht="42.75" spans="1:7">
      <c r="A43" s="41" t="s">
        <v>96</v>
      </c>
      <c r="B43" s="41" t="s">
        <v>97</v>
      </c>
      <c r="C43" s="21" t="s">
        <v>65</v>
      </c>
      <c r="D43" s="19" t="s">
        <v>10</v>
      </c>
      <c r="E43" s="19">
        <v>1300</v>
      </c>
      <c r="F43" s="19" t="s">
        <v>11</v>
      </c>
      <c r="G43" s="20">
        <v>600</v>
      </c>
    </row>
    <row r="44" ht="21.75" spans="1:7">
      <c r="A44" s="41" t="s">
        <v>98</v>
      </c>
      <c r="B44" s="41" t="s">
        <v>99</v>
      </c>
      <c r="C44" s="21" t="s">
        <v>100</v>
      </c>
      <c r="D44" s="19" t="s">
        <v>10</v>
      </c>
      <c r="E44" s="19">
        <v>1500</v>
      </c>
      <c r="F44" s="19" t="s">
        <v>11</v>
      </c>
      <c r="G44" s="20">
        <v>800</v>
      </c>
    </row>
    <row r="45" ht="21.75" spans="1:7">
      <c r="A45" s="41" t="s">
        <v>101</v>
      </c>
      <c r="B45" s="41" t="s">
        <v>102</v>
      </c>
      <c r="C45" s="21" t="s">
        <v>100</v>
      </c>
      <c r="D45" s="19" t="s">
        <v>10</v>
      </c>
      <c r="E45" s="19">
        <v>2000</v>
      </c>
      <c r="F45" s="19" t="s">
        <v>11</v>
      </c>
      <c r="G45" s="20">
        <v>600</v>
      </c>
    </row>
    <row r="46" ht="42.75" spans="1:7">
      <c r="A46" s="41" t="s">
        <v>103</v>
      </c>
      <c r="B46" s="41" t="s">
        <v>104</v>
      </c>
      <c r="C46" s="21" t="s">
        <v>100</v>
      </c>
      <c r="D46" s="19" t="s">
        <v>80</v>
      </c>
      <c r="E46" s="19">
        <v>1500</v>
      </c>
      <c r="F46" s="19" t="s">
        <v>11</v>
      </c>
      <c r="G46" s="20">
        <v>601</v>
      </c>
    </row>
    <row r="47" ht="21.75" spans="1:7">
      <c r="A47" s="41" t="s">
        <v>105</v>
      </c>
      <c r="B47" s="41" t="s">
        <v>106</v>
      </c>
      <c r="C47" s="21" t="s">
        <v>100</v>
      </c>
      <c r="D47" s="19" t="s">
        <v>10</v>
      </c>
      <c r="E47" s="19">
        <v>2000</v>
      </c>
      <c r="F47" s="19" t="s">
        <v>11</v>
      </c>
      <c r="G47" s="20">
        <v>600</v>
      </c>
    </row>
    <row r="48" ht="21.75" spans="1:7">
      <c r="A48" s="41" t="s">
        <v>107</v>
      </c>
      <c r="B48" s="41" t="s">
        <v>108</v>
      </c>
      <c r="C48" s="21" t="s">
        <v>100</v>
      </c>
      <c r="D48" s="19" t="s">
        <v>10</v>
      </c>
      <c r="E48" s="19">
        <v>2000</v>
      </c>
      <c r="F48" s="19" t="s">
        <v>11</v>
      </c>
      <c r="G48" s="20">
        <v>600</v>
      </c>
    </row>
    <row r="49" ht="21.75" spans="1:7">
      <c r="A49" s="41" t="s">
        <v>109</v>
      </c>
      <c r="B49" s="41" t="s">
        <v>110</v>
      </c>
      <c r="C49" s="21" t="s">
        <v>100</v>
      </c>
      <c r="D49" s="19" t="s">
        <v>10</v>
      </c>
      <c r="E49" s="19">
        <v>1500</v>
      </c>
      <c r="F49" s="19" t="s">
        <v>11</v>
      </c>
      <c r="G49" s="20">
        <v>600</v>
      </c>
    </row>
    <row r="50" ht="21.75" spans="1:7">
      <c r="A50" s="40" t="s">
        <v>111</v>
      </c>
      <c r="B50" s="41" t="s">
        <v>112</v>
      </c>
      <c r="C50" s="21" t="s">
        <v>100</v>
      </c>
      <c r="D50" s="19" t="s">
        <v>22</v>
      </c>
      <c r="E50" s="19">
        <v>1500</v>
      </c>
      <c r="F50" s="19" t="s">
        <v>11</v>
      </c>
      <c r="G50" s="20">
        <v>600</v>
      </c>
    </row>
    <row r="51" ht="42.75" spans="1:7">
      <c r="A51" s="41" t="s">
        <v>113</v>
      </c>
      <c r="B51" s="41" t="s">
        <v>114</v>
      </c>
      <c r="C51" s="21" t="s">
        <v>100</v>
      </c>
      <c r="D51" s="19" t="s">
        <v>22</v>
      </c>
      <c r="E51" s="19">
        <v>1500</v>
      </c>
      <c r="F51" s="19" t="s">
        <v>11</v>
      </c>
      <c r="G51" s="20">
        <v>800</v>
      </c>
    </row>
    <row r="52" ht="21.75" spans="1:7">
      <c r="A52" s="41" t="s">
        <v>115</v>
      </c>
      <c r="B52" s="41" t="s">
        <v>116</v>
      </c>
      <c r="C52" s="21" t="s">
        <v>100</v>
      </c>
      <c r="D52" s="19" t="s">
        <v>117</v>
      </c>
      <c r="E52" s="19">
        <v>1500</v>
      </c>
      <c r="F52" s="19" t="s">
        <v>11</v>
      </c>
      <c r="G52" s="20">
        <v>1200</v>
      </c>
    </row>
    <row r="53" ht="42.75" spans="1:7">
      <c r="A53" s="41" t="s">
        <v>118</v>
      </c>
      <c r="B53" s="41" t="s">
        <v>119</v>
      </c>
      <c r="C53" s="21" t="s">
        <v>100</v>
      </c>
      <c r="D53" s="19" t="s">
        <v>120</v>
      </c>
      <c r="E53" s="19">
        <v>1500</v>
      </c>
      <c r="F53" s="19" t="s">
        <v>11</v>
      </c>
      <c r="G53" s="20">
        <v>800</v>
      </c>
    </row>
    <row r="54" ht="21.75" spans="1:7">
      <c r="A54" s="41" t="s">
        <v>121</v>
      </c>
      <c r="B54" s="41" t="s">
        <v>122</v>
      </c>
      <c r="C54" s="21" t="s">
        <v>100</v>
      </c>
      <c r="D54" s="19" t="s">
        <v>10</v>
      </c>
      <c r="E54" s="19">
        <v>1500</v>
      </c>
      <c r="F54" s="19" t="s">
        <v>11</v>
      </c>
      <c r="G54" s="20">
        <v>600</v>
      </c>
    </row>
    <row r="55" ht="42.75" spans="1:7">
      <c r="A55" s="40" t="s">
        <v>123</v>
      </c>
      <c r="B55" s="41" t="s">
        <v>124</v>
      </c>
      <c r="C55" s="21" t="s">
        <v>100</v>
      </c>
      <c r="D55" s="19" t="s">
        <v>10</v>
      </c>
      <c r="E55" s="19">
        <v>1500</v>
      </c>
      <c r="F55" s="19" t="s">
        <v>11</v>
      </c>
      <c r="G55" s="20">
        <v>600</v>
      </c>
    </row>
    <row r="56" ht="42.75" spans="1:7">
      <c r="A56" s="41" t="s">
        <v>125</v>
      </c>
      <c r="B56" s="41" t="s">
        <v>126</v>
      </c>
      <c r="C56" s="21" t="s">
        <v>100</v>
      </c>
      <c r="D56" s="19" t="s">
        <v>117</v>
      </c>
      <c r="E56" s="19">
        <v>1500</v>
      </c>
      <c r="F56" s="19" t="s">
        <v>11</v>
      </c>
      <c r="G56" s="20">
        <v>600</v>
      </c>
    </row>
    <row r="57" ht="21.75" spans="1:7">
      <c r="A57" s="41" t="s">
        <v>127</v>
      </c>
      <c r="B57" s="41" t="s">
        <v>128</v>
      </c>
      <c r="C57" s="21" t="s">
        <v>100</v>
      </c>
      <c r="D57" s="19" t="s">
        <v>10</v>
      </c>
      <c r="E57" s="19">
        <v>1500</v>
      </c>
      <c r="F57" s="19" t="s">
        <v>11</v>
      </c>
      <c r="G57" s="20">
        <v>600</v>
      </c>
    </row>
    <row r="58" ht="21.75" spans="1:7">
      <c r="A58" s="41" t="s">
        <v>129</v>
      </c>
      <c r="B58" s="41" t="s">
        <v>130</v>
      </c>
      <c r="C58" s="21" t="s">
        <v>100</v>
      </c>
      <c r="D58" s="19" t="s">
        <v>10</v>
      </c>
      <c r="E58" s="19">
        <v>1500</v>
      </c>
      <c r="F58" s="19" t="s">
        <v>11</v>
      </c>
      <c r="G58" s="20">
        <v>600</v>
      </c>
    </row>
    <row r="59" ht="21.75" spans="1:7">
      <c r="A59" s="41" t="s">
        <v>131</v>
      </c>
      <c r="B59" s="41" t="s">
        <v>132</v>
      </c>
      <c r="C59" s="21" t="s">
        <v>100</v>
      </c>
      <c r="D59" s="19" t="s">
        <v>22</v>
      </c>
      <c r="E59" s="19">
        <v>2000</v>
      </c>
      <c r="F59" s="19" t="s">
        <v>11</v>
      </c>
      <c r="G59" s="20">
        <v>600</v>
      </c>
    </row>
    <row r="60" ht="21.75" spans="1:7">
      <c r="A60" s="41" t="s">
        <v>133</v>
      </c>
      <c r="B60" s="41" t="s">
        <v>134</v>
      </c>
      <c r="C60" s="21" t="s">
        <v>100</v>
      </c>
      <c r="D60" s="19" t="s">
        <v>10</v>
      </c>
      <c r="E60" s="19">
        <v>1500</v>
      </c>
      <c r="F60" s="19" t="s">
        <v>11</v>
      </c>
      <c r="G60" s="20">
        <v>600</v>
      </c>
    </row>
    <row r="61" ht="21.75" spans="1:7">
      <c r="A61" s="41" t="s">
        <v>135</v>
      </c>
      <c r="B61" s="41" t="s">
        <v>136</v>
      </c>
      <c r="C61" s="21" t="s">
        <v>100</v>
      </c>
      <c r="D61" s="19" t="s">
        <v>22</v>
      </c>
      <c r="E61" s="19">
        <v>1500</v>
      </c>
      <c r="F61" s="19" t="s">
        <v>11</v>
      </c>
      <c r="G61" s="20">
        <v>600</v>
      </c>
    </row>
    <row r="62" ht="42.75" spans="1:7">
      <c r="A62" s="40" t="s">
        <v>137</v>
      </c>
      <c r="B62" s="41" t="s">
        <v>138</v>
      </c>
      <c r="C62" s="21" t="s">
        <v>100</v>
      </c>
      <c r="D62" s="19" t="s">
        <v>22</v>
      </c>
      <c r="E62" s="19">
        <v>1500</v>
      </c>
      <c r="F62" s="19" t="s">
        <v>11</v>
      </c>
      <c r="G62" s="20">
        <v>800</v>
      </c>
    </row>
    <row r="63" ht="21.75" spans="1:7">
      <c r="A63" s="41" t="s">
        <v>139</v>
      </c>
      <c r="B63" s="41" t="s">
        <v>140</v>
      </c>
      <c r="C63" s="21" t="s">
        <v>100</v>
      </c>
      <c r="D63" s="19" t="s">
        <v>22</v>
      </c>
      <c r="E63" s="19">
        <v>1500</v>
      </c>
      <c r="F63" s="19" t="s">
        <v>11</v>
      </c>
      <c r="G63" s="20">
        <v>600</v>
      </c>
    </row>
    <row r="64" ht="42.75" spans="1:7">
      <c r="A64" s="41" t="s">
        <v>141</v>
      </c>
      <c r="B64" s="41" t="s">
        <v>142</v>
      </c>
      <c r="C64" s="21" t="s">
        <v>100</v>
      </c>
      <c r="D64" s="19" t="s">
        <v>10</v>
      </c>
      <c r="E64" s="19">
        <v>1500</v>
      </c>
      <c r="F64" s="19" t="s">
        <v>11</v>
      </c>
      <c r="G64" s="20">
        <v>600</v>
      </c>
    </row>
    <row r="65" ht="21.75" spans="1:7">
      <c r="A65" s="41" t="s">
        <v>143</v>
      </c>
      <c r="B65" s="41" t="s">
        <v>144</v>
      </c>
      <c r="C65" s="21" t="s">
        <v>100</v>
      </c>
      <c r="D65" s="19" t="s">
        <v>10</v>
      </c>
      <c r="E65" s="19">
        <v>1500</v>
      </c>
      <c r="F65" s="19" t="s">
        <v>11</v>
      </c>
      <c r="G65" s="20">
        <v>600</v>
      </c>
    </row>
    <row r="66" ht="21.75" spans="1:7">
      <c r="A66" s="40" t="s">
        <v>145</v>
      </c>
      <c r="B66" s="41" t="s">
        <v>146</v>
      </c>
      <c r="C66" s="21" t="s">
        <v>100</v>
      </c>
      <c r="D66" s="19" t="s">
        <v>22</v>
      </c>
      <c r="E66" s="19">
        <v>1500</v>
      </c>
      <c r="F66" s="19" t="s">
        <v>11</v>
      </c>
      <c r="G66" s="20">
        <v>800</v>
      </c>
    </row>
    <row r="67" ht="21.75" spans="1:7">
      <c r="A67" s="40" t="s">
        <v>147</v>
      </c>
      <c r="B67" s="41" t="s">
        <v>148</v>
      </c>
      <c r="C67" s="21" t="s">
        <v>100</v>
      </c>
      <c r="D67" s="19" t="s">
        <v>10</v>
      </c>
      <c r="E67" s="19">
        <v>1500</v>
      </c>
      <c r="F67" s="19" t="s">
        <v>11</v>
      </c>
      <c r="G67" s="20">
        <v>600</v>
      </c>
    </row>
    <row r="68" ht="21.75" spans="1:7">
      <c r="A68" s="41" t="s">
        <v>149</v>
      </c>
      <c r="B68" s="41" t="s">
        <v>150</v>
      </c>
      <c r="C68" s="21" t="s">
        <v>100</v>
      </c>
      <c r="D68" s="19" t="s">
        <v>120</v>
      </c>
      <c r="E68" s="19">
        <v>1500</v>
      </c>
      <c r="F68" s="19" t="s">
        <v>11</v>
      </c>
      <c r="G68" s="20">
        <v>1000</v>
      </c>
    </row>
    <row r="69" ht="42.75" spans="1:7">
      <c r="A69" s="41" t="s">
        <v>151</v>
      </c>
      <c r="B69" s="41" t="s">
        <v>152</v>
      </c>
      <c r="C69" s="21" t="s">
        <v>100</v>
      </c>
      <c r="D69" s="19" t="s">
        <v>10</v>
      </c>
      <c r="E69" s="19">
        <v>1500</v>
      </c>
      <c r="F69" s="19" t="s">
        <v>11</v>
      </c>
      <c r="G69" s="20">
        <v>600</v>
      </c>
    </row>
    <row r="70" ht="21.75" spans="1:7">
      <c r="A70" s="41" t="s">
        <v>153</v>
      </c>
      <c r="B70" s="41" t="s">
        <v>154</v>
      </c>
      <c r="C70" s="21" t="s">
        <v>100</v>
      </c>
      <c r="D70" s="19" t="s">
        <v>120</v>
      </c>
      <c r="E70" s="19">
        <v>1500</v>
      </c>
      <c r="F70" s="19" t="s">
        <v>11</v>
      </c>
      <c r="G70" s="20">
        <v>1000</v>
      </c>
    </row>
    <row r="71" ht="42.75" spans="1:7">
      <c r="A71" s="40" t="s">
        <v>155</v>
      </c>
      <c r="B71" s="41" t="s">
        <v>156</v>
      </c>
      <c r="C71" s="21" t="s">
        <v>100</v>
      </c>
      <c r="D71" s="19" t="s">
        <v>10</v>
      </c>
      <c r="E71" s="19">
        <v>1500</v>
      </c>
      <c r="F71" s="19" t="s">
        <v>11</v>
      </c>
      <c r="G71" s="20">
        <v>600</v>
      </c>
    </row>
    <row r="72" ht="21.75" spans="1:7">
      <c r="A72" s="41" t="s">
        <v>157</v>
      </c>
      <c r="B72" s="41" t="s">
        <v>158</v>
      </c>
      <c r="C72" s="21" t="s">
        <v>100</v>
      </c>
      <c r="D72" s="19" t="s">
        <v>10</v>
      </c>
      <c r="E72" s="19">
        <v>1500</v>
      </c>
      <c r="F72" s="19" t="s">
        <v>11</v>
      </c>
      <c r="G72" s="20">
        <v>600</v>
      </c>
    </row>
    <row r="73" ht="21.75" spans="1:7">
      <c r="A73" s="41" t="s">
        <v>159</v>
      </c>
      <c r="B73" s="41" t="s">
        <v>160</v>
      </c>
      <c r="C73" s="21" t="s">
        <v>100</v>
      </c>
      <c r="D73" s="19" t="s">
        <v>10</v>
      </c>
      <c r="E73" s="19">
        <v>1500</v>
      </c>
      <c r="F73" s="19" t="s">
        <v>11</v>
      </c>
      <c r="G73" s="20">
        <v>600</v>
      </c>
    </row>
    <row r="74" ht="21.75" spans="1:7">
      <c r="A74" s="41" t="s">
        <v>161</v>
      </c>
      <c r="B74" s="41" t="s">
        <v>162</v>
      </c>
      <c r="C74" s="21" t="s">
        <v>100</v>
      </c>
      <c r="D74" s="19" t="s">
        <v>22</v>
      </c>
      <c r="E74" s="19">
        <v>1500</v>
      </c>
      <c r="F74" s="19" t="s">
        <v>11</v>
      </c>
      <c r="G74" s="20">
        <v>800</v>
      </c>
    </row>
    <row r="75" ht="21.75" spans="1:7">
      <c r="A75" s="41" t="s">
        <v>163</v>
      </c>
      <c r="B75" s="41" t="s">
        <v>164</v>
      </c>
      <c r="C75" s="21" t="s">
        <v>100</v>
      </c>
      <c r="D75" s="19" t="s">
        <v>10</v>
      </c>
      <c r="E75" s="19">
        <v>1500</v>
      </c>
      <c r="F75" s="19" t="s">
        <v>11</v>
      </c>
      <c r="G75" s="20">
        <v>600</v>
      </c>
    </row>
    <row r="76" ht="21.75" spans="1:7">
      <c r="A76" s="41" t="s">
        <v>165</v>
      </c>
      <c r="B76" s="41" t="s">
        <v>166</v>
      </c>
      <c r="C76" s="22" t="s">
        <v>167</v>
      </c>
      <c r="D76" s="19" t="s">
        <v>10</v>
      </c>
      <c r="E76" s="19">
        <v>1300</v>
      </c>
      <c r="F76" s="19" t="s">
        <v>11</v>
      </c>
      <c r="G76" s="20">
        <v>600</v>
      </c>
    </row>
    <row r="77" ht="21.75" spans="1:7">
      <c r="A77" s="41" t="s">
        <v>168</v>
      </c>
      <c r="B77" s="41" t="s">
        <v>169</v>
      </c>
      <c r="C77" s="22" t="s">
        <v>167</v>
      </c>
      <c r="D77" s="19" t="s">
        <v>120</v>
      </c>
      <c r="E77" s="19">
        <v>1300</v>
      </c>
      <c r="F77" s="19" t="s">
        <v>11</v>
      </c>
      <c r="G77" s="20">
        <v>800</v>
      </c>
    </row>
    <row r="78" ht="21.75" spans="1:7">
      <c r="A78" s="41" t="s">
        <v>170</v>
      </c>
      <c r="B78" s="41" t="s">
        <v>171</v>
      </c>
      <c r="C78" s="22" t="s">
        <v>167</v>
      </c>
      <c r="D78" s="19" t="s">
        <v>10</v>
      </c>
      <c r="E78" s="19">
        <v>2200</v>
      </c>
      <c r="F78" s="19" t="s">
        <v>11</v>
      </c>
      <c r="G78" s="20">
        <v>600</v>
      </c>
    </row>
    <row r="79" ht="21.75" spans="1:7">
      <c r="A79" s="41" t="s">
        <v>172</v>
      </c>
      <c r="B79" s="41" t="s">
        <v>173</v>
      </c>
      <c r="C79" s="22" t="s">
        <v>167</v>
      </c>
      <c r="D79" s="19" t="s">
        <v>22</v>
      </c>
      <c r="E79" s="19">
        <v>1300</v>
      </c>
      <c r="F79" s="19" t="s">
        <v>11</v>
      </c>
      <c r="G79" s="20">
        <v>800</v>
      </c>
    </row>
    <row r="80" ht="21.75" spans="1:7">
      <c r="A80" s="42" t="s">
        <v>174</v>
      </c>
      <c r="B80" s="41" t="s">
        <v>175</v>
      </c>
      <c r="C80" s="22" t="s">
        <v>167</v>
      </c>
      <c r="D80" s="19" t="s">
        <v>10</v>
      </c>
      <c r="E80" s="19">
        <v>1000</v>
      </c>
      <c r="F80" s="19" t="s">
        <v>11</v>
      </c>
      <c r="G80" s="20">
        <v>600</v>
      </c>
    </row>
    <row r="81" ht="21.75" spans="1:7">
      <c r="A81" s="42" t="s">
        <v>176</v>
      </c>
      <c r="B81" s="42" t="s">
        <v>177</v>
      </c>
      <c r="C81" s="22" t="s">
        <v>167</v>
      </c>
      <c r="D81" s="43" t="s">
        <v>10</v>
      </c>
      <c r="E81" s="43">
        <v>2200</v>
      </c>
      <c r="F81" s="43" t="s">
        <v>11</v>
      </c>
      <c r="G81" s="44">
        <v>600</v>
      </c>
    </row>
    <row r="82" ht="21.75" spans="1:7">
      <c r="A82" s="45" t="s">
        <v>178</v>
      </c>
      <c r="B82" s="41" t="s">
        <v>179</v>
      </c>
      <c r="C82" s="22" t="s">
        <v>167</v>
      </c>
      <c r="D82" s="19" t="s">
        <v>22</v>
      </c>
      <c r="E82" s="19">
        <v>1500</v>
      </c>
      <c r="F82" s="19" t="s">
        <v>11</v>
      </c>
      <c r="G82" s="20">
        <v>800</v>
      </c>
    </row>
    <row r="83" ht="42.75" spans="1:7">
      <c r="A83" s="41" t="s">
        <v>180</v>
      </c>
      <c r="B83" s="41" t="s">
        <v>181</v>
      </c>
      <c r="C83" s="22" t="s">
        <v>167</v>
      </c>
      <c r="D83" s="19" t="s">
        <v>10</v>
      </c>
      <c r="E83" s="19">
        <v>1000</v>
      </c>
      <c r="F83" s="19" t="s">
        <v>11</v>
      </c>
      <c r="G83" s="20">
        <v>600</v>
      </c>
    </row>
    <row r="84" ht="21.75" spans="1:7">
      <c r="A84" s="41" t="s">
        <v>182</v>
      </c>
      <c r="B84" s="41" t="s">
        <v>183</v>
      </c>
      <c r="C84" s="22" t="s">
        <v>167</v>
      </c>
      <c r="D84" s="19" t="s">
        <v>10</v>
      </c>
      <c r="E84" s="19">
        <v>1500</v>
      </c>
      <c r="F84" s="19" t="s">
        <v>11</v>
      </c>
      <c r="G84" s="20">
        <v>600</v>
      </c>
    </row>
    <row r="85" ht="21.75" spans="1:7">
      <c r="A85" s="45" t="s">
        <v>184</v>
      </c>
      <c r="B85" s="41" t="s">
        <v>185</v>
      </c>
      <c r="C85" s="22" t="s">
        <v>167</v>
      </c>
      <c r="D85" s="19" t="s">
        <v>10</v>
      </c>
      <c r="E85" s="19">
        <v>1300</v>
      </c>
      <c r="F85" s="19" t="s">
        <v>11</v>
      </c>
      <c r="G85" s="20">
        <v>600</v>
      </c>
    </row>
    <row r="86" ht="42.75" spans="1:7">
      <c r="A86" s="41" t="s">
        <v>186</v>
      </c>
      <c r="B86" s="41" t="s">
        <v>187</v>
      </c>
      <c r="C86" s="22" t="s">
        <v>167</v>
      </c>
      <c r="D86" s="19" t="s">
        <v>10</v>
      </c>
      <c r="E86" s="19">
        <v>1500</v>
      </c>
      <c r="F86" s="19" t="s">
        <v>11</v>
      </c>
      <c r="G86" s="20">
        <v>600</v>
      </c>
    </row>
    <row r="87" ht="21.75" spans="1:7">
      <c r="A87" s="41" t="s">
        <v>188</v>
      </c>
      <c r="B87" s="41" t="s">
        <v>189</v>
      </c>
      <c r="C87" s="22" t="s">
        <v>167</v>
      </c>
      <c r="D87" s="19" t="s">
        <v>10</v>
      </c>
      <c r="E87" s="19">
        <v>1300</v>
      </c>
      <c r="F87" s="19" t="s">
        <v>11</v>
      </c>
      <c r="G87" s="20">
        <v>600</v>
      </c>
    </row>
    <row r="88" ht="42.75" spans="1:7">
      <c r="A88" s="41" t="s">
        <v>190</v>
      </c>
      <c r="B88" s="41" t="s">
        <v>191</v>
      </c>
      <c r="C88" s="22" t="s">
        <v>167</v>
      </c>
      <c r="D88" s="19" t="s">
        <v>10</v>
      </c>
      <c r="E88" s="19">
        <v>1000</v>
      </c>
      <c r="F88" s="19" t="s">
        <v>11</v>
      </c>
      <c r="G88" s="20">
        <v>600</v>
      </c>
    </row>
    <row r="89" ht="42.75" spans="1:7">
      <c r="A89" s="41" t="s">
        <v>192</v>
      </c>
      <c r="B89" s="41" t="s">
        <v>193</v>
      </c>
      <c r="C89" s="22" t="s">
        <v>167</v>
      </c>
      <c r="D89" s="19" t="s">
        <v>10</v>
      </c>
      <c r="E89" s="19">
        <v>2000</v>
      </c>
      <c r="F89" s="19" t="s">
        <v>11</v>
      </c>
      <c r="G89" s="20">
        <v>600</v>
      </c>
    </row>
    <row r="90" ht="42.75" spans="1:7">
      <c r="A90" s="41" t="s">
        <v>194</v>
      </c>
      <c r="B90" s="41" t="s">
        <v>195</v>
      </c>
      <c r="C90" s="22" t="s">
        <v>196</v>
      </c>
      <c r="D90" s="19" t="s">
        <v>120</v>
      </c>
      <c r="E90" s="19">
        <v>1300</v>
      </c>
      <c r="F90" s="19" t="s">
        <v>11</v>
      </c>
      <c r="G90" s="20">
        <v>800</v>
      </c>
    </row>
    <row r="91" ht="21.75" spans="1:7">
      <c r="A91" s="41" t="s">
        <v>197</v>
      </c>
      <c r="B91" s="41" t="s">
        <v>198</v>
      </c>
      <c r="C91" s="22" t="s">
        <v>196</v>
      </c>
      <c r="D91" s="19" t="s">
        <v>22</v>
      </c>
      <c r="E91" s="19">
        <v>1500</v>
      </c>
      <c r="F91" s="19" t="s">
        <v>11</v>
      </c>
      <c r="G91" s="20">
        <v>800</v>
      </c>
    </row>
    <row r="92" ht="21.75" spans="1:7">
      <c r="A92" s="41" t="s">
        <v>199</v>
      </c>
      <c r="B92" s="41" t="s">
        <v>200</v>
      </c>
      <c r="C92" s="22" t="s">
        <v>196</v>
      </c>
      <c r="D92" s="19" t="s">
        <v>120</v>
      </c>
      <c r="E92" s="19">
        <v>2200</v>
      </c>
      <c r="F92" s="19" t="s">
        <v>11</v>
      </c>
      <c r="G92" s="20">
        <v>1200</v>
      </c>
    </row>
    <row r="93" ht="42.75" spans="1:7">
      <c r="A93" s="41" t="s">
        <v>201</v>
      </c>
      <c r="B93" s="41" t="s">
        <v>202</v>
      </c>
      <c r="C93" s="22" t="s">
        <v>196</v>
      </c>
      <c r="D93" s="19" t="s">
        <v>117</v>
      </c>
      <c r="E93" s="19">
        <v>2000</v>
      </c>
      <c r="F93" s="19" t="s">
        <v>11</v>
      </c>
      <c r="G93" s="20">
        <v>1200</v>
      </c>
    </row>
    <row r="94" ht="21.75" spans="1:7">
      <c r="A94" s="41" t="s">
        <v>203</v>
      </c>
      <c r="B94" s="41" t="s">
        <v>204</v>
      </c>
      <c r="C94" s="22" t="s">
        <v>196</v>
      </c>
      <c r="D94" s="19" t="s">
        <v>10</v>
      </c>
      <c r="E94" s="19">
        <v>1300</v>
      </c>
      <c r="F94" s="19" t="s">
        <v>11</v>
      </c>
      <c r="G94" s="20">
        <v>600</v>
      </c>
    </row>
    <row r="95" ht="21.75" spans="1:7">
      <c r="A95" s="41" t="s">
        <v>205</v>
      </c>
      <c r="B95" s="41" t="s">
        <v>206</v>
      </c>
      <c r="C95" s="22" t="s">
        <v>196</v>
      </c>
      <c r="D95" s="19" t="s">
        <v>207</v>
      </c>
      <c r="E95" s="19">
        <v>1000</v>
      </c>
      <c r="F95" s="19" t="s">
        <v>11</v>
      </c>
      <c r="G95" s="20">
        <v>1600</v>
      </c>
    </row>
    <row r="96" ht="42.75" spans="1:7">
      <c r="A96" s="41" t="s">
        <v>208</v>
      </c>
      <c r="B96" s="41" t="s">
        <v>209</v>
      </c>
      <c r="C96" s="22" t="s">
        <v>196</v>
      </c>
      <c r="D96" s="19" t="s">
        <v>22</v>
      </c>
      <c r="E96" s="19">
        <v>2000</v>
      </c>
      <c r="F96" s="19" t="s">
        <v>11</v>
      </c>
      <c r="G96" s="20">
        <v>800</v>
      </c>
    </row>
    <row r="97" ht="21.75" spans="1:7">
      <c r="A97" s="41" t="s">
        <v>210</v>
      </c>
      <c r="B97" s="41" t="s">
        <v>30</v>
      </c>
      <c r="C97" s="22" t="s">
        <v>196</v>
      </c>
      <c r="D97" s="19" t="s">
        <v>22</v>
      </c>
      <c r="E97" s="19">
        <v>1000</v>
      </c>
      <c r="F97" s="19" t="s">
        <v>11</v>
      </c>
      <c r="G97" s="20">
        <v>800</v>
      </c>
    </row>
    <row r="98" ht="21.75" spans="1:7">
      <c r="A98" s="41" t="s">
        <v>211</v>
      </c>
      <c r="B98" s="41" t="s">
        <v>212</v>
      </c>
      <c r="C98" s="22" t="s">
        <v>196</v>
      </c>
      <c r="D98" s="19" t="s">
        <v>10</v>
      </c>
      <c r="E98" s="19">
        <v>1500</v>
      </c>
      <c r="F98" s="19" t="s">
        <v>11</v>
      </c>
      <c r="G98" s="20">
        <v>600</v>
      </c>
    </row>
    <row r="99" ht="21.75" spans="1:7">
      <c r="A99" s="41" t="s">
        <v>213</v>
      </c>
      <c r="B99" s="41" t="s">
        <v>214</v>
      </c>
      <c r="C99" s="22" t="s">
        <v>196</v>
      </c>
      <c r="D99" s="19" t="s">
        <v>10</v>
      </c>
      <c r="E99" s="19">
        <v>1100</v>
      </c>
      <c r="F99" s="19" t="s">
        <v>11</v>
      </c>
      <c r="G99" s="20">
        <v>600</v>
      </c>
    </row>
    <row r="100" ht="21.75" spans="1:7">
      <c r="A100" s="41" t="s">
        <v>215</v>
      </c>
      <c r="B100" s="41" t="s">
        <v>216</v>
      </c>
      <c r="C100" s="22" t="s">
        <v>196</v>
      </c>
      <c r="D100" s="19" t="s">
        <v>207</v>
      </c>
      <c r="E100" s="19">
        <v>1300</v>
      </c>
      <c r="F100" s="19" t="s">
        <v>11</v>
      </c>
      <c r="G100" s="20">
        <v>1600</v>
      </c>
    </row>
    <row r="101" ht="21.75" spans="1:7">
      <c r="A101" s="41" t="s">
        <v>217</v>
      </c>
      <c r="B101" s="41" t="s">
        <v>218</v>
      </c>
      <c r="C101" s="22" t="s">
        <v>196</v>
      </c>
      <c r="D101" s="19" t="s">
        <v>10</v>
      </c>
      <c r="E101" s="19">
        <v>1500</v>
      </c>
      <c r="F101" s="19" t="s">
        <v>11</v>
      </c>
      <c r="G101" s="20">
        <v>600</v>
      </c>
    </row>
    <row r="102" ht="21.75" spans="1:7">
      <c r="A102" s="41" t="s">
        <v>219</v>
      </c>
      <c r="B102" s="41" t="s">
        <v>220</v>
      </c>
      <c r="C102" s="22" t="s">
        <v>196</v>
      </c>
      <c r="D102" s="19" t="s">
        <v>120</v>
      </c>
      <c r="E102" s="19">
        <v>1500</v>
      </c>
      <c r="F102" s="19" t="s">
        <v>11</v>
      </c>
      <c r="G102" s="20">
        <v>1000</v>
      </c>
    </row>
    <row r="103" ht="42.75" spans="1:7">
      <c r="A103" s="41" t="s">
        <v>221</v>
      </c>
      <c r="B103" s="41" t="s">
        <v>222</v>
      </c>
      <c r="C103" s="22" t="s">
        <v>196</v>
      </c>
      <c r="D103" s="19" t="s">
        <v>10</v>
      </c>
      <c r="E103" s="19">
        <v>1500</v>
      </c>
      <c r="F103" s="19" t="s">
        <v>11</v>
      </c>
      <c r="G103" s="20">
        <v>600</v>
      </c>
    </row>
    <row r="104" ht="21.75" spans="1:7">
      <c r="A104" s="41" t="s">
        <v>223</v>
      </c>
      <c r="B104" s="41" t="s">
        <v>224</v>
      </c>
      <c r="C104" s="22" t="s">
        <v>196</v>
      </c>
      <c r="D104" s="28" t="s">
        <v>10</v>
      </c>
      <c r="E104" s="28">
        <v>1300</v>
      </c>
      <c r="F104" s="19" t="s">
        <v>11</v>
      </c>
      <c r="G104" s="29">
        <v>600</v>
      </c>
    </row>
    <row r="105" ht="21.75" spans="1:7">
      <c r="A105" s="41" t="s">
        <v>225</v>
      </c>
      <c r="B105" s="41" t="s">
        <v>226</v>
      </c>
      <c r="C105" s="22" t="s">
        <v>196</v>
      </c>
      <c r="D105" s="28" t="s">
        <v>10</v>
      </c>
      <c r="E105" s="28">
        <v>1500</v>
      </c>
      <c r="F105" s="19" t="s">
        <v>11</v>
      </c>
      <c r="G105" s="29">
        <v>600</v>
      </c>
    </row>
    <row r="106" ht="21.75" spans="1:7">
      <c r="A106" s="41" t="s">
        <v>227</v>
      </c>
      <c r="B106" s="41" t="s">
        <v>228</v>
      </c>
      <c r="C106" s="22" t="s">
        <v>196</v>
      </c>
      <c r="D106" s="28" t="s">
        <v>10</v>
      </c>
      <c r="E106" s="28">
        <v>1500</v>
      </c>
      <c r="F106" s="19" t="s">
        <v>11</v>
      </c>
      <c r="G106" s="29">
        <v>600</v>
      </c>
    </row>
    <row r="107" ht="42.75" spans="1:7">
      <c r="A107" s="41" t="s">
        <v>229</v>
      </c>
      <c r="B107" s="41" t="s">
        <v>230</v>
      </c>
      <c r="C107" s="22" t="s">
        <v>196</v>
      </c>
      <c r="D107" s="28" t="s">
        <v>10</v>
      </c>
      <c r="E107" s="28">
        <v>1500</v>
      </c>
      <c r="F107" s="19" t="s">
        <v>11</v>
      </c>
      <c r="G107" s="29">
        <v>600</v>
      </c>
    </row>
    <row r="108" ht="21.75" spans="1:7">
      <c r="A108" s="42" t="s">
        <v>231</v>
      </c>
      <c r="B108" s="41" t="s">
        <v>232</v>
      </c>
      <c r="C108" s="22" t="s">
        <v>196</v>
      </c>
      <c r="D108" s="19" t="s">
        <v>22</v>
      </c>
      <c r="E108" s="19">
        <v>1300</v>
      </c>
      <c r="F108" s="19" t="s">
        <v>11</v>
      </c>
      <c r="G108" s="20">
        <v>1600</v>
      </c>
    </row>
    <row r="109" ht="21.75" spans="1:7">
      <c r="A109" s="41" t="s">
        <v>233</v>
      </c>
      <c r="B109" s="41" t="s">
        <v>234</v>
      </c>
      <c r="C109" s="22" t="s">
        <v>196</v>
      </c>
      <c r="D109" s="19" t="s">
        <v>117</v>
      </c>
      <c r="E109" s="19">
        <v>1600</v>
      </c>
      <c r="F109" s="19" t="s">
        <v>11</v>
      </c>
      <c r="G109" s="20">
        <v>1200</v>
      </c>
    </row>
    <row r="110" ht="21.75" spans="1:7">
      <c r="A110" s="40" t="s">
        <v>235</v>
      </c>
      <c r="B110" s="41" t="s">
        <v>236</v>
      </c>
      <c r="C110" s="22" t="s">
        <v>196</v>
      </c>
      <c r="D110" s="19" t="s">
        <v>10</v>
      </c>
      <c r="E110" s="28">
        <v>1500</v>
      </c>
      <c r="F110" s="19" t="s">
        <v>11</v>
      </c>
      <c r="G110" s="20">
        <v>600</v>
      </c>
    </row>
    <row r="111" ht="21.75" spans="1:7">
      <c r="A111" s="40" t="s">
        <v>237</v>
      </c>
      <c r="B111" s="41" t="s">
        <v>238</v>
      </c>
      <c r="C111" s="22" t="s">
        <v>196</v>
      </c>
      <c r="D111" s="19" t="s">
        <v>10</v>
      </c>
      <c r="E111" s="19">
        <v>1800</v>
      </c>
      <c r="F111" s="19" t="s">
        <v>11</v>
      </c>
      <c r="G111" s="29">
        <v>600</v>
      </c>
    </row>
    <row r="112" ht="21.75" spans="1:7">
      <c r="A112" s="41" t="s">
        <v>239</v>
      </c>
      <c r="B112" s="41" t="s">
        <v>240</v>
      </c>
      <c r="C112" s="22" t="s">
        <v>196</v>
      </c>
      <c r="D112" s="19" t="s">
        <v>10</v>
      </c>
      <c r="E112" s="19">
        <v>1300</v>
      </c>
      <c r="F112" s="19" t="s">
        <v>11</v>
      </c>
      <c r="G112" s="29">
        <v>600</v>
      </c>
    </row>
    <row r="113" ht="21.75" spans="1:7">
      <c r="A113" s="41" t="s">
        <v>241</v>
      </c>
      <c r="B113" s="41" t="s">
        <v>242</v>
      </c>
      <c r="C113" s="22" t="s">
        <v>196</v>
      </c>
      <c r="D113" s="19" t="s">
        <v>22</v>
      </c>
      <c r="E113" s="19">
        <v>2000</v>
      </c>
      <c r="F113" s="19" t="s">
        <v>11</v>
      </c>
      <c r="G113" s="20">
        <v>800</v>
      </c>
    </row>
    <row r="114" ht="21.75" spans="1:7">
      <c r="A114" s="40" t="s">
        <v>243</v>
      </c>
      <c r="B114" s="41" t="s">
        <v>244</v>
      </c>
      <c r="C114" s="22" t="s">
        <v>196</v>
      </c>
      <c r="D114" s="19" t="s">
        <v>22</v>
      </c>
      <c r="E114" s="28">
        <v>1300</v>
      </c>
      <c r="F114" s="19" t="s">
        <v>11</v>
      </c>
      <c r="G114" s="20">
        <v>800</v>
      </c>
    </row>
    <row r="115" ht="42.75" spans="1:7">
      <c r="A115" s="40" t="s">
        <v>245</v>
      </c>
      <c r="B115" s="41" t="s">
        <v>246</v>
      </c>
      <c r="C115" s="22" t="s">
        <v>196</v>
      </c>
      <c r="D115" s="19" t="s">
        <v>10</v>
      </c>
      <c r="E115" s="19">
        <v>1300</v>
      </c>
      <c r="F115" s="19" t="s">
        <v>11</v>
      </c>
      <c r="G115" s="20">
        <v>600</v>
      </c>
    </row>
    <row r="116" ht="21.75" spans="1:7">
      <c r="A116" s="41" t="s">
        <v>247</v>
      </c>
      <c r="B116" s="41" t="s">
        <v>248</v>
      </c>
      <c r="C116" s="22" t="s">
        <v>196</v>
      </c>
      <c r="D116" s="19" t="s">
        <v>10</v>
      </c>
      <c r="E116" s="19">
        <v>1800</v>
      </c>
      <c r="F116" s="19" t="s">
        <v>11</v>
      </c>
      <c r="G116" s="20">
        <v>600</v>
      </c>
    </row>
    <row r="117" ht="21.75" spans="1:7">
      <c r="A117" s="41" t="s">
        <v>249</v>
      </c>
      <c r="B117" s="41" t="s">
        <v>169</v>
      </c>
      <c r="C117" s="22" t="s">
        <v>196</v>
      </c>
      <c r="D117" s="19" t="s">
        <v>250</v>
      </c>
      <c r="E117" s="19">
        <v>1300</v>
      </c>
      <c r="F117" s="19" t="s">
        <v>11</v>
      </c>
      <c r="G117" s="29">
        <v>3500</v>
      </c>
    </row>
    <row r="118" ht="21.75" spans="1:7">
      <c r="A118" s="41" t="s">
        <v>251</v>
      </c>
      <c r="B118" s="41" t="s">
        <v>169</v>
      </c>
      <c r="C118" s="22" t="s">
        <v>196</v>
      </c>
      <c r="D118" s="19" t="s">
        <v>252</v>
      </c>
      <c r="E118" s="19">
        <v>1500</v>
      </c>
      <c r="F118" s="19" t="s">
        <v>11</v>
      </c>
      <c r="G118" s="29">
        <v>3501</v>
      </c>
    </row>
    <row r="119" ht="21.75" spans="1:7">
      <c r="A119" s="41" t="s">
        <v>253</v>
      </c>
      <c r="B119" s="41" t="s">
        <v>254</v>
      </c>
      <c r="C119" s="22" t="s">
        <v>196</v>
      </c>
      <c r="D119" s="19" t="s">
        <v>10</v>
      </c>
      <c r="E119" s="19">
        <v>1500</v>
      </c>
      <c r="F119" s="19" t="s">
        <v>11</v>
      </c>
      <c r="G119" s="20">
        <v>600</v>
      </c>
    </row>
    <row r="120" ht="21.75" spans="1:7">
      <c r="A120" s="41" t="s">
        <v>255</v>
      </c>
      <c r="B120" s="41" t="s">
        <v>256</v>
      </c>
      <c r="C120" s="22" t="s">
        <v>196</v>
      </c>
      <c r="D120" s="19" t="s">
        <v>10</v>
      </c>
      <c r="E120" s="19">
        <v>1300</v>
      </c>
      <c r="F120" s="19" t="s">
        <v>11</v>
      </c>
      <c r="G120" s="20">
        <v>600</v>
      </c>
    </row>
    <row r="121" ht="21.75" spans="1:7">
      <c r="A121" s="41" t="s">
        <v>257</v>
      </c>
      <c r="B121" s="41" t="s">
        <v>258</v>
      </c>
      <c r="C121" s="22" t="s">
        <v>196</v>
      </c>
      <c r="D121" s="19" t="s">
        <v>10</v>
      </c>
      <c r="E121" s="19">
        <v>1300</v>
      </c>
      <c r="F121" s="19" t="s">
        <v>11</v>
      </c>
      <c r="G121" s="29">
        <v>600</v>
      </c>
    </row>
    <row r="122" ht="21.75" spans="1:7">
      <c r="A122" s="41" t="s">
        <v>259</v>
      </c>
      <c r="B122" s="41" t="s">
        <v>260</v>
      </c>
      <c r="C122" s="22" t="s">
        <v>196</v>
      </c>
      <c r="D122" s="19" t="s">
        <v>10</v>
      </c>
      <c r="E122" s="19">
        <v>2200</v>
      </c>
      <c r="F122" s="19" t="s">
        <v>11</v>
      </c>
      <c r="G122" s="29">
        <v>600</v>
      </c>
    </row>
    <row r="123" ht="42.75" spans="1:7">
      <c r="A123" s="41" t="s">
        <v>261</v>
      </c>
      <c r="B123" s="41" t="s">
        <v>262</v>
      </c>
      <c r="C123" s="22" t="s">
        <v>196</v>
      </c>
      <c r="D123" s="19" t="s">
        <v>10</v>
      </c>
      <c r="E123" s="19">
        <v>1500</v>
      </c>
      <c r="F123" s="19" t="s">
        <v>11</v>
      </c>
      <c r="G123" s="20">
        <v>600</v>
      </c>
    </row>
    <row r="124" ht="21.75" spans="1:7">
      <c r="A124" s="41" t="s">
        <v>263</v>
      </c>
      <c r="B124" s="41" t="s">
        <v>264</v>
      </c>
      <c r="C124" s="22" t="s">
        <v>196</v>
      </c>
      <c r="D124" s="19" t="s">
        <v>10</v>
      </c>
      <c r="E124" s="19">
        <v>1300</v>
      </c>
      <c r="F124" s="19" t="s">
        <v>11</v>
      </c>
      <c r="G124" s="20">
        <v>600</v>
      </c>
    </row>
    <row r="125" ht="42.75" spans="1:7">
      <c r="A125" s="41" t="s">
        <v>265</v>
      </c>
      <c r="B125" s="41" t="s">
        <v>266</v>
      </c>
      <c r="C125" s="22" t="s">
        <v>196</v>
      </c>
      <c r="D125" s="19" t="s">
        <v>10</v>
      </c>
      <c r="E125" s="19">
        <v>2000</v>
      </c>
      <c r="F125" s="19" t="s">
        <v>11</v>
      </c>
      <c r="G125" s="29">
        <v>600</v>
      </c>
    </row>
    <row r="126" ht="21.75" spans="1:7">
      <c r="A126" s="41" t="s">
        <v>267</v>
      </c>
      <c r="B126" s="41" t="s">
        <v>268</v>
      </c>
      <c r="C126" s="22" t="s">
        <v>196</v>
      </c>
      <c r="D126" s="19" t="s">
        <v>10</v>
      </c>
      <c r="E126" s="19">
        <v>1000</v>
      </c>
      <c r="F126" s="19" t="s">
        <v>11</v>
      </c>
      <c r="G126" s="20">
        <v>600</v>
      </c>
    </row>
    <row r="127" ht="21.75" spans="1:7">
      <c r="A127" s="41" t="s">
        <v>269</v>
      </c>
      <c r="B127" s="41" t="s">
        <v>268</v>
      </c>
      <c r="C127" s="22" t="s">
        <v>196</v>
      </c>
      <c r="D127" s="19" t="s">
        <v>80</v>
      </c>
      <c r="E127" s="19">
        <v>1300</v>
      </c>
      <c r="F127" s="19" t="s">
        <v>11</v>
      </c>
      <c r="G127" s="20">
        <v>601</v>
      </c>
    </row>
    <row r="128" ht="21.75" spans="1:7">
      <c r="A128" s="40" t="s">
        <v>270</v>
      </c>
      <c r="B128" s="41" t="s">
        <v>271</v>
      </c>
      <c r="C128" s="22" t="s">
        <v>196</v>
      </c>
      <c r="D128" s="19" t="s">
        <v>10</v>
      </c>
      <c r="E128" s="19">
        <v>1500</v>
      </c>
      <c r="F128" s="19" t="s">
        <v>11</v>
      </c>
      <c r="G128" s="20">
        <v>600</v>
      </c>
    </row>
    <row r="129" ht="21.75" spans="1:7">
      <c r="A129" s="41" t="s">
        <v>272</v>
      </c>
      <c r="B129" s="41" t="s">
        <v>273</v>
      </c>
      <c r="C129" s="22" t="s">
        <v>196</v>
      </c>
      <c r="D129" s="19" t="s">
        <v>10</v>
      </c>
      <c r="E129" s="19">
        <v>1300</v>
      </c>
      <c r="F129" s="19" t="s">
        <v>11</v>
      </c>
      <c r="G129" s="20">
        <v>600</v>
      </c>
    </row>
    <row r="130" ht="21.75" spans="1:7">
      <c r="A130" s="41" t="s">
        <v>274</v>
      </c>
      <c r="B130" s="41" t="s">
        <v>275</v>
      </c>
      <c r="C130" s="22" t="s">
        <v>196</v>
      </c>
      <c r="D130" s="19" t="s">
        <v>10</v>
      </c>
      <c r="E130" s="19">
        <v>1300</v>
      </c>
      <c r="F130" s="19" t="s">
        <v>11</v>
      </c>
      <c r="G130" s="20">
        <v>600</v>
      </c>
    </row>
    <row r="131" ht="21.75" spans="1:7">
      <c r="A131" s="41" t="s">
        <v>276</v>
      </c>
      <c r="B131" s="41" t="s">
        <v>277</v>
      </c>
      <c r="C131" s="22" t="s">
        <v>196</v>
      </c>
      <c r="D131" s="19" t="s">
        <v>10</v>
      </c>
      <c r="E131" s="19">
        <v>1300</v>
      </c>
      <c r="F131" s="19" t="s">
        <v>11</v>
      </c>
      <c r="G131" s="20">
        <v>600</v>
      </c>
    </row>
    <row r="132" ht="21.75" spans="1:7">
      <c r="A132" s="41" t="s">
        <v>278</v>
      </c>
      <c r="B132" s="41" t="s">
        <v>279</v>
      </c>
      <c r="C132" s="22" t="s">
        <v>196</v>
      </c>
      <c r="D132" s="19" t="s">
        <v>10</v>
      </c>
      <c r="E132" s="19">
        <v>1300</v>
      </c>
      <c r="F132" s="19" t="s">
        <v>11</v>
      </c>
      <c r="G132" s="20">
        <v>600</v>
      </c>
    </row>
    <row r="133" ht="21.75" spans="1:7">
      <c r="A133" s="41" t="s">
        <v>280</v>
      </c>
      <c r="B133" s="41" t="s">
        <v>281</v>
      </c>
      <c r="C133" s="22" t="s">
        <v>196</v>
      </c>
      <c r="D133" s="19" t="s">
        <v>10</v>
      </c>
      <c r="E133" s="19">
        <v>1300</v>
      </c>
      <c r="F133" s="19" t="s">
        <v>11</v>
      </c>
      <c r="G133" s="20">
        <v>600</v>
      </c>
    </row>
    <row r="134" ht="21.75" spans="1:7">
      <c r="A134" s="41" t="s">
        <v>282</v>
      </c>
      <c r="B134" s="41" t="s">
        <v>283</v>
      </c>
      <c r="C134" s="22" t="s">
        <v>196</v>
      </c>
      <c r="D134" s="19" t="s">
        <v>10</v>
      </c>
      <c r="E134" s="19">
        <v>1300</v>
      </c>
      <c r="F134" s="19" t="s">
        <v>11</v>
      </c>
      <c r="G134" s="20">
        <v>600</v>
      </c>
    </row>
    <row r="135" ht="21.75" spans="1:7">
      <c r="A135" s="41" t="s">
        <v>284</v>
      </c>
      <c r="B135" s="41" t="s">
        <v>285</v>
      </c>
      <c r="C135" s="22" t="s">
        <v>196</v>
      </c>
      <c r="D135" s="19" t="s">
        <v>10</v>
      </c>
      <c r="E135" s="19">
        <v>1300</v>
      </c>
      <c r="F135" s="19" t="s">
        <v>11</v>
      </c>
      <c r="G135" s="20">
        <v>600</v>
      </c>
    </row>
    <row r="136" ht="21.75" spans="1:7">
      <c r="A136" s="40" t="s">
        <v>286</v>
      </c>
      <c r="B136" s="41" t="s">
        <v>287</v>
      </c>
      <c r="C136" s="22" t="s">
        <v>196</v>
      </c>
      <c r="D136" s="19" t="s">
        <v>10</v>
      </c>
      <c r="E136" s="19">
        <v>1000</v>
      </c>
      <c r="F136" s="19" t="s">
        <v>11</v>
      </c>
      <c r="G136" s="20">
        <v>600</v>
      </c>
    </row>
    <row r="137" ht="21.75" spans="1:7">
      <c r="A137" s="42" t="s">
        <v>288</v>
      </c>
      <c r="B137" s="41" t="s">
        <v>289</v>
      </c>
      <c r="C137" s="22" t="s">
        <v>196</v>
      </c>
      <c r="D137" s="19" t="s">
        <v>10</v>
      </c>
      <c r="E137" s="19">
        <v>1700</v>
      </c>
      <c r="F137" s="19" t="s">
        <v>11</v>
      </c>
      <c r="G137" s="20">
        <v>600</v>
      </c>
    </row>
    <row r="138" ht="21.75" spans="1:7">
      <c r="A138" s="41" t="s">
        <v>290</v>
      </c>
      <c r="B138" s="41" t="s">
        <v>291</v>
      </c>
      <c r="C138" s="22" t="s">
        <v>196</v>
      </c>
      <c r="D138" s="19" t="s">
        <v>22</v>
      </c>
      <c r="E138" s="19">
        <v>1300</v>
      </c>
      <c r="F138" s="19" t="s">
        <v>11</v>
      </c>
      <c r="G138" s="20">
        <v>800</v>
      </c>
    </row>
    <row r="139" ht="42.75" spans="1:7">
      <c r="A139" s="41" t="s">
        <v>292</v>
      </c>
      <c r="B139" s="41" t="s">
        <v>293</v>
      </c>
      <c r="C139" s="22" t="s">
        <v>196</v>
      </c>
      <c r="D139" s="19" t="s">
        <v>10</v>
      </c>
      <c r="E139" s="19">
        <v>2000</v>
      </c>
      <c r="F139" s="19" t="s">
        <v>11</v>
      </c>
      <c r="G139" s="20">
        <v>600</v>
      </c>
    </row>
    <row r="140" ht="42.75" spans="1:7">
      <c r="A140" s="41" t="s">
        <v>294</v>
      </c>
      <c r="B140" s="41" t="s">
        <v>295</v>
      </c>
      <c r="C140" s="49" t="s">
        <v>296</v>
      </c>
      <c r="D140" s="19" t="s">
        <v>10</v>
      </c>
      <c r="E140" s="19">
        <v>1500</v>
      </c>
      <c r="F140" s="19" t="s">
        <v>11</v>
      </c>
      <c r="G140" s="20">
        <v>600</v>
      </c>
    </row>
    <row r="141" ht="42.75" spans="1:7">
      <c r="A141" s="40" t="s">
        <v>297</v>
      </c>
      <c r="B141" s="41" t="s">
        <v>298</v>
      </c>
      <c r="C141" s="32" t="s">
        <v>296</v>
      </c>
      <c r="D141" s="19" t="s">
        <v>10</v>
      </c>
      <c r="E141" s="19">
        <v>1500</v>
      </c>
      <c r="F141" s="19" t="s">
        <v>11</v>
      </c>
      <c r="G141" s="20">
        <v>600</v>
      </c>
    </row>
    <row r="142" ht="21.75" spans="1:7">
      <c r="A142" s="41" t="s">
        <v>299</v>
      </c>
      <c r="B142" s="41" t="s">
        <v>300</v>
      </c>
      <c r="C142" s="49" t="s">
        <v>296</v>
      </c>
      <c r="D142" s="19" t="s">
        <v>10</v>
      </c>
      <c r="E142" s="19">
        <v>1500</v>
      </c>
      <c r="F142" s="19" t="s">
        <v>11</v>
      </c>
      <c r="G142" s="20">
        <v>600</v>
      </c>
    </row>
    <row r="143" ht="21.75" spans="1:7">
      <c r="A143" s="40" t="s">
        <v>301</v>
      </c>
      <c r="B143" s="41" t="s">
        <v>302</v>
      </c>
      <c r="C143" s="32" t="s">
        <v>296</v>
      </c>
      <c r="D143" s="19" t="s">
        <v>10</v>
      </c>
      <c r="E143" s="19">
        <v>1500</v>
      </c>
      <c r="F143" s="19" t="s">
        <v>11</v>
      </c>
      <c r="G143" s="20">
        <v>600</v>
      </c>
    </row>
    <row r="144" ht="21.75" spans="1:7">
      <c r="A144" s="41" t="s">
        <v>303</v>
      </c>
      <c r="B144" s="41" t="s">
        <v>304</v>
      </c>
      <c r="C144" s="49" t="s">
        <v>296</v>
      </c>
      <c r="D144" s="19" t="s">
        <v>10</v>
      </c>
      <c r="E144" s="19">
        <v>2000</v>
      </c>
      <c r="F144" s="19" t="s">
        <v>11</v>
      </c>
      <c r="G144" s="20">
        <v>600</v>
      </c>
    </row>
    <row r="145" ht="42.75" spans="1:7">
      <c r="A145" s="41" t="s">
        <v>305</v>
      </c>
      <c r="B145" s="41" t="s">
        <v>306</v>
      </c>
      <c r="C145" s="32" t="s">
        <v>296</v>
      </c>
      <c r="D145" s="19" t="s">
        <v>10</v>
      </c>
      <c r="E145" s="19">
        <v>2500</v>
      </c>
      <c r="F145" s="19" t="s">
        <v>11</v>
      </c>
      <c r="G145" s="20">
        <v>600</v>
      </c>
    </row>
    <row r="146" ht="21.75" spans="1:7">
      <c r="A146" s="41" t="s">
        <v>307</v>
      </c>
      <c r="B146" s="41" t="s">
        <v>308</v>
      </c>
      <c r="C146" s="49" t="s">
        <v>296</v>
      </c>
      <c r="D146" s="19" t="s">
        <v>10</v>
      </c>
      <c r="E146" s="19">
        <v>2000</v>
      </c>
      <c r="F146" s="19" t="s">
        <v>11</v>
      </c>
      <c r="G146" s="20">
        <v>600</v>
      </c>
    </row>
    <row r="147" ht="21.75" spans="1:7">
      <c r="A147" s="40" t="s">
        <v>309</v>
      </c>
      <c r="B147" s="41" t="s">
        <v>310</v>
      </c>
      <c r="C147" s="32" t="s">
        <v>296</v>
      </c>
      <c r="D147" s="19" t="s">
        <v>10</v>
      </c>
      <c r="E147" s="19">
        <v>1500</v>
      </c>
      <c r="F147" s="19" t="s">
        <v>11</v>
      </c>
      <c r="G147" s="20">
        <v>600</v>
      </c>
    </row>
    <row r="148" ht="42.75" spans="1:7">
      <c r="A148" s="41" t="s">
        <v>311</v>
      </c>
      <c r="B148" s="41" t="s">
        <v>312</v>
      </c>
      <c r="C148" s="49" t="s">
        <v>296</v>
      </c>
      <c r="D148" s="19" t="s">
        <v>10</v>
      </c>
      <c r="E148" s="19">
        <v>1500</v>
      </c>
      <c r="F148" s="19" t="s">
        <v>11</v>
      </c>
      <c r="G148" s="20">
        <v>600</v>
      </c>
    </row>
    <row r="149" ht="21.75" spans="1:7">
      <c r="A149" s="50" t="s">
        <v>313</v>
      </c>
      <c r="B149" s="50" t="s">
        <v>314</v>
      </c>
      <c r="C149" s="49" t="s">
        <v>296</v>
      </c>
      <c r="D149" s="19" t="s">
        <v>10</v>
      </c>
      <c r="E149" s="53">
        <v>1500</v>
      </c>
      <c r="F149" s="52" t="s">
        <v>11</v>
      </c>
      <c r="G149" s="51">
        <v>600</v>
      </c>
    </row>
    <row r="150" ht="42.75" spans="1:7">
      <c r="A150" s="40" t="s">
        <v>315</v>
      </c>
      <c r="B150" s="41" t="s">
        <v>316</v>
      </c>
      <c r="C150" s="32" t="s">
        <v>296</v>
      </c>
      <c r="D150" s="19" t="s">
        <v>10</v>
      </c>
      <c r="E150" s="19">
        <v>1500</v>
      </c>
      <c r="F150" s="19" t="s">
        <v>11</v>
      </c>
      <c r="G150" s="20">
        <v>600</v>
      </c>
    </row>
    <row r="151" ht="21.75" spans="1:7">
      <c r="A151" s="41" t="s">
        <v>317</v>
      </c>
      <c r="B151" s="41" t="s">
        <v>318</v>
      </c>
      <c r="C151" s="49" t="s">
        <v>296</v>
      </c>
      <c r="D151" s="19" t="s">
        <v>10</v>
      </c>
      <c r="E151" s="19">
        <v>2500</v>
      </c>
      <c r="F151" s="19" t="s">
        <v>11</v>
      </c>
      <c r="G151" s="20">
        <v>600</v>
      </c>
    </row>
    <row r="152" ht="42.75" spans="1:7">
      <c r="A152" s="41" t="s">
        <v>319</v>
      </c>
      <c r="B152" s="41" t="s">
        <v>320</v>
      </c>
      <c r="C152" s="32" t="s">
        <v>296</v>
      </c>
      <c r="D152" s="19" t="s">
        <v>10</v>
      </c>
      <c r="E152" s="19">
        <v>4000</v>
      </c>
      <c r="F152" s="19" t="s">
        <v>11</v>
      </c>
      <c r="G152" s="20">
        <v>600</v>
      </c>
    </row>
    <row r="153" ht="21.75" spans="1:7">
      <c r="A153" s="41" t="s">
        <v>321</v>
      </c>
      <c r="B153" s="41" t="s">
        <v>322</v>
      </c>
      <c r="C153" s="49" t="s">
        <v>296</v>
      </c>
      <c r="D153" s="19" t="s">
        <v>10</v>
      </c>
      <c r="E153" s="19">
        <v>600</v>
      </c>
      <c r="F153" s="19" t="s">
        <v>11</v>
      </c>
      <c r="G153" s="20">
        <v>600</v>
      </c>
    </row>
    <row r="154" ht="42.75" spans="1:7">
      <c r="A154" s="41" t="s">
        <v>323</v>
      </c>
      <c r="B154" s="41" t="s">
        <v>324</v>
      </c>
      <c r="C154" s="32" t="s">
        <v>296</v>
      </c>
      <c r="D154" s="19" t="s">
        <v>10</v>
      </c>
      <c r="E154" s="19">
        <v>2000</v>
      </c>
      <c r="F154" s="19" t="s">
        <v>11</v>
      </c>
      <c r="G154" s="20">
        <v>600</v>
      </c>
    </row>
    <row r="155" ht="42.75" spans="1:7">
      <c r="A155" s="40" t="s">
        <v>325</v>
      </c>
      <c r="B155" s="41" t="s">
        <v>326</v>
      </c>
      <c r="C155" s="49" t="s">
        <v>296</v>
      </c>
      <c r="D155" s="19" t="s">
        <v>10</v>
      </c>
      <c r="E155" s="19">
        <v>1500</v>
      </c>
      <c r="F155" s="19" t="s">
        <v>11</v>
      </c>
      <c r="G155" s="20">
        <v>600</v>
      </c>
    </row>
    <row r="156" ht="21.75" spans="1:7">
      <c r="A156" s="41" t="s">
        <v>327</v>
      </c>
      <c r="B156" s="41" t="s">
        <v>328</v>
      </c>
      <c r="C156" s="32" t="s">
        <v>296</v>
      </c>
      <c r="D156" s="19" t="s">
        <v>10</v>
      </c>
      <c r="E156" s="19">
        <v>2000</v>
      </c>
      <c r="F156" s="19" t="s">
        <v>11</v>
      </c>
      <c r="G156" s="20">
        <v>600</v>
      </c>
    </row>
    <row r="157" ht="21.75" spans="1:7">
      <c r="A157" s="41" t="s">
        <v>329</v>
      </c>
      <c r="B157" s="41" t="s">
        <v>330</v>
      </c>
      <c r="C157" s="49" t="s">
        <v>296</v>
      </c>
      <c r="D157" s="19" t="s">
        <v>10</v>
      </c>
      <c r="E157" s="19">
        <v>3000</v>
      </c>
      <c r="F157" s="19" t="s">
        <v>11</v>
      </c>
      <c r="G157" s="20">
        <v>600</v>
      </c>
    </row>
    <row r="158" ht="21.75" spans="1:7">
      <c r="A158" s="41" t="s">
        <v>331</v>
      </c>
      <c r="B158" s="41" t="s">
        <v>332</v>
      </c>
      <c r="C158" s="49" t="s">
        <v>296</v>
      </c>
      <c r="D158" s="19" t="s">
        <v>10</v>
      </c>
      <c r="E158" s="19">
        <v>1300</v>
      </c>
      <c r="F158" s="19" t="s">
        <v>11</v>
      </c>
      <c r="G158" s="20">
        <v>600</v>
      </c>
    </row>
    <row r="159" ht="21.75" spans="1:7">
      <c r="A159" s="41" t="s">
        <v>333</v>
      </c>
      <c r="B159" s="41" t="s">
        <v>334</v>
      </c>
      <c r="C159" s="32" t="s">
        <v>296</v>
      </c>
      <c r="D159" s="19" t="s">
        <v>10</v>
      </c>
      <c r="E159" s="19">
        <v>1300</v>
      </c>
      <c r="F159" s="19" t="s">
        <v>11</v>
      </c>
      <c r="G159" s="20">
        <v>600</v>
      </c>
    </row>
    <row r="160" ht="21.75" spans="1:7">
      <c r="A160" s="41" t="s">
        <v>335</v>
      </c>
      <c r="B160" s="41" t="s">
        <v>336</v>
      </c>
      <c r="C160" s="49" t="s">
        <v>337</v>
      </c>
      <c r="D160" s="19" t="s">
        <v>10</v>
      </c>
      <c r="E160" s="19">
        <v>1300</v>
      </c>
      <c r="F160" s="19" t="s">
        <v>11</v>
      </c>
      <c r="G160" s="20">
        <v>600</v>
      </c>
    </row>
    <row r="161" ht="42.75" spans="1:7">
      <c r="A161" s="41" t="s">
        <v>338</v>
      </c>
      <c r="B161" s="41" t="s">
        <v>339</v>
      </c>
      <c r="C161" s="49" t="s">
        <v>337</v>
      </c>
      <c r="D161" s="19" t="s">
        <v>10</v>
      </c>
      <c r="E161" s="19">
        <v>0</v>
      </c>
      <c r="F161" s="19" t="s">
        <v>11</v>
      </c>
      <c r="G161" s="20">
        <v>600</v>
      </c>
    </row>
    <row r="162" ht="21.75" spans="1:7">
      <c r="A162" s="40" t="s">
        <v>340</v>
      </c>
      <c r="B162" s="41" t="s">
        <v>341</v>
      </c>
      <c r="C162" s="49" t="s">
        <v>337</v>
      </c>
      <c r="D162" s="19" t="s">
        <v>10</v>
      </c>
      <c r="E162" s="19">
        <v>1000</v>
      </c>
      <c r="F162" s="19" t="s">
        <v>11</v>
      </c>
      <c r="G162" s="20">
        <v>600</v>
      </c>
    </row>
    <row r="163" ht="21.75" spans="1:7">
      <c r="A163" s="40" t="s">
        <v>342</v>
      </c>
      <c r="B163" s="41" t="s">
        <v>343</v>
      </c>
      <c r="C163" s="49" t="s">
        <v>337</v>
      </c>
      <c r="D163" s="19" t="s">
        <v>10</v>
      </c>
      <c r="E163" s="19">
        <v>2000</v>
      </c>
      <c r="F163" s="19" t="s">
        <v>11</v>
      </c>
      <c r="G163" s="20">
        <v>600</v>
      </c>
    </row>
    <row r="164" ht="21.75" spans="1:7">
      <c r="A164" s="40" t="s">
        <v>344</v>
      </c>
      <c r="B164" s="41" t="s">
        <v>345</v>
      </c>
      <c r="C164" s="49" t="s">
        <v>337</v>
      </c>
      <c r="D164" s="19" t="s">
        <v>10</v>
      </c>
      <c r="E164" s="19">
        <v>3000</v>
      </c>
      <c r="F164" s="19" t="s">
        <v>11</v>
      </c>
      <c r="G164" s="20">
        <v>600</v>
      </c>
    </row>
    <row r="165" ht="21.75" spans="1:7">
      <c r="A165" s="40" t="s">
        <v>346</v>
      </c>
      <c r="B165" s="41" t="s">
        <v>347</v>
      </c>
      <c r="C165" s="49" t="s">
        <v>337</v>
      </c>
      <c r="D165" s="19" t="s">
        <v>10</v>
      </c>
      <c r="E165" s="19">
        <v>2000</v>
      </c>
      <c r="F165" s="19" t="s">
        <v>11</v>
      </c>
      <c r="G165" s="20">
        <v>600</v>
      </c>
    </row>
    <row r="166" ht="42" spans="1:7">
      <c r="A166" s="56" t="s">
        <v>348</v>
      </c>
      <c r="B166" s="57" t="s">
        <v>349</v>
      </c>
      <c r="C166" s="49" t="s">
        <v>337</v>
      </c>
      <c r="D166" s="19" t="s">
        <v>10</v>
      </c>
      <c r="E166" s="19">
        <v>1000</v>
      </c>
      <c r="F166" s="19" t="s">
        <v>11</v>
      </c>
      <c r="G166" s="20">
        <v>600</v>
      </c>
    </row>
    <row r="167" ht="21" spans="1:7">
      <c r="A167" s="56" t="s">
        <v>350</v>
      </c>
      <c r="B167" s="57" t="s">
        <v>351</v>
      </c>
      <c r="C167" s="58" t="s">
        <v>337</v>
      </c>
      <c r="D167" s="19" t="s">
        <v>10</v>
      </c>
      <c r="E167" s="19">
        <v>2000</v>
      </c>
      <c r="F167" s="19" t="s">
        <v>11</v>
      </c>
      <c r="G167" s="20">
        <v>600</v>
      </c>
    </row>
    <row r="168" ht="21" spans="1:7">
      <c r="A168" s="50" t="s">
        <v>352</v>
      </c>
      <c r="B168" s="57" t="s">
        <v>353</v>
      </c>
      <c r="C168" s="58" t="s">
        <v>354</v>
      </c>
      <c r="D168" s="19" t="s">
        <v>80</v>
      </c>
      <c r="E168" s="19">
        <v>1300</v>
      </c>
      <c r="F168" s="19" t="s">
        <v>11</v>
      </c>
      <c r="G168" s="20">
        <v>601</v>
      </c>
    </row>
    <row r="169" ht="21" spans="1:7">
      <c r="A169" s="50" t="s">
        <v>355</v>
      </c>
      <c r="B169" s="57" t="s">
        <v>353</v>
      </c>
      <c r="C169" s="58" t="s">
        <v>354</v>
      </c>
      <c r="D169" s="19" t="s">
        <v>22</v>
      </c>
      <c r="E169" s="19">
        <v>1500</v>
      </c>
      <c r="F169" s="19" t="s">
        <v>11</v>
      </c>
      <c r="G169" s="20">
        <v>602</v>
      </c>
    </row>
    <row r="170" ht="21" spans="1:7">
      <c r="A170" s="50" t="s">
        <v>356</v>
      </c>
      <c r="B170" s="57" t="s">
        <v>353</v>
      </c>
      <c r="C170" s="58" t="s">
        <v>354</v>
      </c>
      <c r="D170" s="19" t="s">
        <v>357</v>
      </c>
      <c r="E170" s="19">
        <v>1500</v>
      </c>
      <c r="F170" s="19" t="s">
        <v>11</v>
      </c>
      <c r="G170" s="20">
        <v>603</v>
      </c>
    </row>
    <row r="171" ht="21" spans="1:7">
      <c r="A171" s="56" t="s">
        <v>358</v>
      </c>
      <c r="B171" s="57" t="s">
        <v>353</v>
      </c>
      <c r="C171" s="58" t="s">
        <v>354</v>
      </c>
      <c r="D171" s="19" t="s">
        <v>120</v>
      </c>
      <c r="E171" s="19">
        <v>1500</v>
      </c>
      <c r="F171" s="19" t="s">
        <v>11</v>
      </c>
      <c r="G171" s="20">
        <v>604</v>
      </c>
    </row>
    <row r="172" ht="21" spans="1:7">
      <c r="A172" s="50" t="s">
        <v>359</v>
      </c>
      <c r="B172" s="57" t="s">
        <v>353</v>
      </c>
      <c r="C172" s="58" t="s">
        <v>354</v>
      </c>
      <c r="D172" s="19" t="s">
        <v>360</v>
      </c>
      <c r="E172" s="19">
        <v>1300</v>
      </c>
      <c r="F172" s="19" t="s">
        <v>11</v>
      </c>
      <c r="G172" s="20">
        <v>605</v>
      </c>
    </row>
    <row r="173" ht="21" spans="1:7">
      <c r="A173" s="50" t="s">
        <v>361</v>
      </c>
      <c r="B173" s="57" t="s">
        <v>353</v>
      </c>
      <c r="C173" s="58" t="s">
        <v>354</v>
      </c>
      <c r="D173" s="19" t="s">
        <v>117</v>
      </c>
      <c r="E173" s="19">
        <v>2000</v>
      </c>
      <c r="F173" s="19" t="s">
        <v>11</v>
      </c>
      <c r="G173" s="20">
        <v>606</v>
      </c>
    </row>
    <row r="174" ht="42" spans="1:7">
      <c r="A174" s="56" t="s">
        <v>362</v>
      </c>
      <c r="B174" s="57" t="s">
        <v>353</v>
      </c>
      <c r="C174" s="58" t="s">
        <v>354</v>
      </c>
      <c r="D174" s="19" t="s">
        <v>363</v>
      </c>
      <c r="E174" s="19">
        <v>1000</v>
      </c>
      <c r="F174" s="19" t="s">
        <v>11</v>
      </c>
      <c r="G174" s="20">
        <v>607</v>
      </c>
    </row>
    <row r="175" ht="21" spans="1:7">
      <c r="A175" s="50" t="s">
        <v>364</v>
      </c>
      <c r="B175" s="57" t="s">
        <v>353</v>
      </c>
      <c r="C175" s="58" t="s">
        <v>354</v>
      </c>
      <c r="D175" s="19" t="s">
        <v>365</v>
      </c>
      <c r="E175" s="19">
        <v>1200</v>
      </c>
      <c r="F175" s="19" t="s">
        <v>11</v>
      </c>
      <c r="G175" s="20">
        <v>608</v>
      </c>
    </row>
    <row r="176" ht="21" spans="1:7">
      <c r="A176" s="50" t="s">
        <v>366</v>
      </c>
      <c r="B176" s="57" t="s">
        <v>353</v>
      </c>
      <c r="C176" s="58" t="s">
        <v>354</v>
      </c>
      <c r="D176" s="19" t="s">
        <v>367</v>
      </c>
      <c r="E176" s="19">
        <v>0</v>
      </c>
      <c r="F176" s="19" t="s">
        <v>11</v>
      </c>
      <c r="G176" s="20">
        <v>609</v>
      </c>
    </row>
    <row r="177" ht="21" spans="1:7">
      <c r="A177" s="56" t="s">
        <v>368</v>
      </c>
      <c r="B177" s="57" t="s">
        <v>353</v>
      </c>
      <c r="C177" s="58" t="s">
        <v>354</v>
      </c>
      <c r="D177" s="19" t="s">
        <v>369</v>
      </c>
      <c r="E177" s="19">
        <v>1500</v>
      </c>
      <c r="F177" s="19" t="s">
        <v>11</v>
      </c>
      <c r="G177" s="20">
        <v>610</v>
      </c>
    </row>
    <row r="178" ht="21" spans="1:7">
      <c r="A178" s="50" t="s">
        <v>370</v>
      </c>
      <c r="B178" s="57" t="s">
        <v>353</v>
      </c>
      <c r="C178" s="58" t="s">
        <v>354</v>
      </c>
      <c r="D178" s="19" t="s">
        <v>207</v>
      </c>
      <c r="E178" s="19">
        <v>2000</v>
      </c>
      <c r="F178" s="19" t="s">
        <v>11</v>
      </c>
      <c r="G178" s="20">
        <v>612</v>
      </c>
    </row>
    <row r="179" ht="42" spans="1:7">
      <c r="A179" s="50" t="s">
        <v>371</v>
      </c>
      <c r="B179" s="57" t="s">
        <v>353</v>
      </c>
      <c r="C179" s="58" t="s">
        <v>354</v>
      </c>
      <c r="D179" s="19" t="s">
        <v>372</v>
      </c>
      <c r="E179" s="19">
        <v>13000</v>
      </c>
      <c r="F179" s="19" t="s">
        <v>11</v>
      </c>
      <c r="G179" s="20">
        <v>613</v>
      </c>
    </row>
    <row r="180" ht="42" spans="1:7">
      <c r="A180" s="50" t="s">
        <v>373</v>
      </c>
      <c r="B180" s="57" t="s">
        <v>353</v>
      </c>
      <c r="C180" s="58" t="s">
        <v>354</v>
      </c>
      <c r="D180" s="19" t="s">
        <v>374</v>
      </c>
      <c r="E180" s="19">
        <v>1000</v>
      </c>
      <c r="F180" s="19" t="s">
        <v>11</v>
      </c>
      <c r="G180" s="20">
        <v>614</v>
      </c>
    </row>
    <row r="181" ht="42" spans="1:7">
      <c r="A181" s="50" t="s">
        <v>375</v>
      </c>
      <c r="B181" s="57" t="s">
        <v>353</v>
      </c>
      <c r="C181" s="58" t="s">
        <v>354</v>
      </c>
      <c r="D181" s="19" t="s">
        <v>376</v>
      </c>
      <c r="E181" s="19">
        <v>1500</v>
      </c>
      <c r="F181" s="19" t="s">
        <v>11</v>
      </c>
      <c r="G181" s="20">
        <v>615</v>
      </c>
    </row>
    <row r="182" ht="21" spans="1:7">
      <c r="A182" s="50" t="s">
        <v>377</v>
      </c>
      <c r="B182" s="57" t="s">
        <v>353</v>
      </c>
      <c r="C182" s="58" t="s">
        <v>354</v>
      </c>
      <c r="D182" s="19" t="s">
        <v>378</v>
      </c>
      <c r="E182" s="19">
        <v>2500</v>
      </c>
      <c r="F182" s="19" t="s">
        <v>11</v>
      </c>
      <c r="G182" s="20">
        <v>616</v>
      </c>
    </row>
    <row r="183" ht="21" spans="1:7">
      <c r="A183" s="50" t="s">
        <v>379</v>
      </c>
      <c r="B183" s="57" t="s">
        <v>353</v>
      </c>
      <c r="C183" s="58" t="s">
        <v>354</v>
      </c>
      <c r="D183" s="19" t="s">
        <v>380</v>
      </c>
      <c r="E183" s="19">
        <v>1300</v>
      </c>
      <c r="F183" s="19" t="s">
        <v>11</v>
      </c>
      <c r="G183" s="20">
        <v>617</v>
      </c>
    </row>
    <row r="184" ht="42" spans="1:7">
      <c r="A184" s="50" t="s">
        <v>381</v>
      </c>
      <c r="B184" s="57" t="s">
        <v>353</v>
      </c>
      <c r="C184" s="58" t="s">
        <v>354</v>
      </c>
      <c r="D184" s="19" t="s">
        <v>382</v>
      </c>
      <c r="E184" s="19">
        <v>3000</v>
      </c>
      <c r="F184" s="19" t="s">
        <v>11</v>
      </c>
      <c r="G184" s="20">
        <v>618</v>
      </c>
    </row>
    <row r="185" ht="42" spans="1:7">
      <c r="A185" s="50" t="s">
        <v>383</v>
      </c>
      <c r="B185" s="57" t="s">
        <v>353</v>
      </c>
      <c r="C185" s="58" t="s">
        <v>354</v>
      </c>
      <c r="D185" s="19" t="s">
        <v>384</v>
      </c>
      <c r="E185" s="19">
        <v>10000</v>
      </c>
      <c r="F185" s="19" t="s">
        <v>11</v>
      </c>
      <c r="G185" s="20">
        <v>619</v>
      </c>
    </row>
    <row r="186" ht="42" spans="1:7">
      <c r="A186" s="50" t="s">
        <v>385</v>
      </c>
      <c r="B186" s="57" t="s">
        <v>353</v>
      </c>
      <c r="C186" s="58" t="s">
        <v>354</v>
      </c>
      <c r="D186" s="19" t="s">
        <v>386</v>
      </c>
      <c r="E186" s="19">
        <v>0</v>
      </c>
      <c r="F186" s="19" t="s">
        <v>11</v>
      </c>
      <c r="G186" s="20">
        <v>620</v>
      </c>
    </row>
    <row r="187" ht="42" spans="1:7">
      <c r="A187" s="50" t="s">
        <v>328</v>
      </c>
      <c r="B187" s="57" t="s">
        <v>353</v>
      </c>
      <c r="C187" s="58" t="s">
        <v>354</v>
      </c>
      <c r="D187" s="19" t="s">
        <v>387</v>
      </c>
      <c r="E187" s="19">
        <v>1300</v>
      </c>
      <c r="F187" s="19" t="s">
        <v>11</v>
      </c>
      <c r="G187" s="20">
        <v>621</v>
      </c>
    </row>
    <row r="188" ht="21" spans="1:7">
      <c r="A188" s="50" t="s">
        <v>388</v>
      </c>
      <c r="B188" s="57" t="s">
        <v>353</v>
      </c>
      <c r="C188" s="58" t="s">
        <v>354</v>
      </c>
      <c r="D188" s="19" t="s">
        <v>389</v>
      </c>
      <c r="E188" s="19">
        <v>1300</v>
      </c>
      <c r="F188" s="19" t="s">
        <v>11</v>
      </c>
      <c r="G188" s="20">
        <v>622</v>
      </c>
    </row>
    <row r="189" ht="21" spans="1:7">
      <c r="A189" s="50" t="s">
        <v>390</v>
      </c>
      <c r="B189" s="57" t="s">
        <v>353</v>
      </c>
      <c r="C189" s="58" t="s">
        <v>354</v>
      </c>
      <c r="D189" s="19" t="s">
        <v>391</v>
      </c>
      <c r="E189" s="19">
        <v>1500</v>
      </c>
      <c r="F189" s="19" t="s">
        <v>11</v>
      </c>
      <c r="G189" s="20">
        <v>623</v>
      </c>
    </row>
    <row r="190" ht="21" spans="1:7">
      <c r="A190" s="50" t="s">
        <v>392</v>
      </c>
      <c r="B190" s="57" t="s">
        <v>353</v>
      </c>
      <c r="C190" s="58" t="s">
        <v>354</v>
      </c>
      <c r="D190" s="19" t="s">
        <v>393</v>
      </c>
      <c r="E190" s="19">
        <v>1500</v>
      </c>
      <c r="F190" s="19" t="s">
        <v>11</v>
      </c>
      <c r="G190" s="20">
        <v>624</v>
      </c>
    </row>
    <row r="191" ht="21" spans="1:7">
      <c r="A191" s="50" t="s">
        <v>394</v>
      </c>
      <c r="B191" s="57" t="s">
        <v>395</v>
      </c>
      <c r="C191" s="58" t="s">
        <v>354</v>
      </c>
      <c r="D191" s="19" t="s">
        <v>393</v>
      </c>
      <c r="E191" s="19">
        <v>1300</v>
      </c>
      <c r="F191" s="19" t="s">
        <v>11</v>
      </c>
      <c r="G191" s="20">
        <v>624</v>
      </c>
    </row>
    <row r="192" ht="21" spans="1:7">
      <c r="A192" s="50" t="s">
        <v>396</v>
      </c>
      <c r="B192" s="57" t="s">
        <v>397</v>
      </c>
      <c r="C192" s="58" t="s">
        <v>354</v>
      </c>
      <c r="D192" s="28" t="s">
        <v>393</v>
      </c>
      <c r="E192" s="28">
        <v>2500</v>
      </c>
      <c r="F192" s="28" t="s">
        <v>11</v>
      </c>
      <c r="G192" s="29">
        <v>624</v>
      </c>
    </row>
    <row r="193" ht="21" spans="1:7">
      <c r="A193" s="62" t="s">
        <v>398</v>
      </c>
      <c r="B193" s="57" t="s">
        <v>399</v>
      </c>
      <c r="C193" s="58" t="s">
        <v>354</v>
      </c>
      <c r="D193" s="28" t="s">
        <v>400</v>
      </c>
      <c r="E193" s="28">
        <v>2000</v>
      </c>
      <c r="F193" s="28" t="s">
        <v>11</v>
      </c>
      <c r="G193" s="29">
        <v>625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2"/>
  <sheetViews>
    <sheetView workbookViewId="0">
      <pane ySplit="12" topLeftCell="A21" activePane="bottomLeft" state="frozen"/>
      <selection/>
      <selection pane="bottomLeft" activeCell="A12" sqref="A1:J204"/>
    </sheetView>
  </sheetViews>
  <sheetFormatPr defaultColWidth="14.4285714285714" defaultRowHeight="22.5" customHeight="1"/>
  <cols>
    <col min="1" max="1" width="40" customWidth="1"/>
    <col min="2" max="2" width="35.2857142857143" customWidth="1"/>
    <col min="3" max="3" width="26" customWidth="1"/>
    <col min="4" max="4" width="22.2857142857143" customWidth="1"/>
    <col min="5" max="5" width="25" customWidth="1"/>
    <col min="6" max="7" width="25.4285714285714" customWidth="1"/>
    <col min="8" max="8" width="26" customWidth="1"/>
    <col min="9" max="9" width="17.7142857142857" customWidth="1"/>
    <col min="10" max="10" width="26" customWidth="1"/>
    <col min="11" max="11" width="23.1428571428571" customWidth="1"/>
    <col min="12" max="27" width="8.71428571428571" customWidth="1"/>
  </cols>
  <sheetData>
    <row r="1" ht="53.25" hidden="1" customHeight="1" outlineLevel="1" spans="1:10">
      <c r="A1" s="1" t="s">
        <v>401</v>
      </c>
      <c r="B1" s="1"/>
      <c r="C1" s="2"/>
      <c r="D1" s="2"/>
      <c r="E1" s="2"/>
      <c r="F1" s="2"/>
      <c r="G1" s="2"/>
      <c r="H1" s="2"/>
      <c r="I1" s="2"/>
      <c r="J1" s="2"/>
    </row>
    <row r="2" hidden="1" customHeight="1" outlineLevel="1" spans="1:10">
      <c r="A2" s="3" t="s">
        <v>402</v>
      </c>
      <c r="B2" s="3" t="s">
        <v>403</v>
      </c>
      <c r="C2" s="3" t="s">
        <v>404</v>
      </c>
      <c r="D2" s="3" t="s">
        <v>405</v>
      </c>
      <c r="E2" s="3" t="s">
        <v>406</v>
      </c>
      <c r="F2" s="3" t="s">
        <v>407</v>
      </c>
      <c r="G2" s="3" t="s">
        <v>408</v>
      </c>
      <c r="H2" s="3" t="s">
        <v>409</v>
      </c>
      <c r="I2" s="3" t="s">
        <v>410</v>
      </c>
      <c r="J2" s="3" t="s">
        <v>411</v>
      </c>
    </row>
    <row r="3" hidden="1" customHeight="1" outlineLevel="1" spans="1:10">
      <c r="A3" s="35" t="s">
        <v>9</v>
      </c>
      <c r="B3" s="35"/>
      <c r="C3" s="36">
        <f t="shared" ref="C3:C10" si="0">SUMIF($C$13:$C$972,A3,$G$13:$G$972)</f>
        <v>39400</v>
      </c>
      <c r="D3" s="37">
        <f t="shared" ref="D3:D10" si="1">SUMIF($C$13:$C$972,A3,$H$13:$H$972)</f>
        <v>2000</v>
      </c>
      <c r="E3" s="37">
        <f t="shared" ref="E3:E10" si="2">SUMIF($C$13:$C$972,A3,$I$13:$I$972)</f>
        <v>16200</v>
      </c>
      <c r="F3" s="38">
        <f t="shared" ref="F3:F9" si="3">C3-E3</f>
        <v>23200</v>
      </c>
      <c r="G3" s="37">
        <f t="shared" ref="G3:G9" si="4">F3+D3</f>
        <v>25200</v>
      </c>
      <c r="H3" s="37">
        <f t="shared" ref="H3:H10" si="5">SUMIF($C$13:$C$972,A3,$E$13:$E$972)</f>
        <v>20116</v>
      </c>
      <c r="I3" s="37">
        <v>0</v>
      </c>
      <c r="J3" s="37">
        <f t="shared" ref="J3:J9" si="6">C3-H3-I3</f>
        <v>19284</v>
      </c>
    </row>
    <row r="4" hidden="1" customHeight="1" outlineLevel="1" spans="1:10">
      <c r="A4" s="35" t="s">
        <v>167</v>
      </c>
      <c r="B4" s="35"/>
      <c r="C4" s="37">
        <f t="shared" si="0"/>
        <v>20400</v>
      </c>
      <c r="D4" s="37">
        <f t="shared" si="1"/>
        <v>0</v>
      </c>
      <c r="E4" s="37">
        <f t="shared" si="2"/>
        <v>0</v>
      </c>
      <c r="F4" s="38">
        <f t="shared" si="3"/>
        <v>20400</v>
      </c>
      <c r="G4" s="37">
        <f t="shared" si="4"/>
        <v>20400</v>
      </c>
      <c r="H4" s="37">
        <f t="shared" si="5"/>
        <v>9000</v>
      </c>
      <c r="I4" s="37">
        <v>0</v>
      </c>
      <c r="J4" s="37">
        <f t="shared" si="6"/>
        <v>11400</v>
      </c>
    </row>
    <row r="5" hidden="1" customHeight="1" outlineLevel="1" spans="1:10">
      <c r="A5" s="35" t="s">
        <v>196</v>
      </c>
      <c r="B5" s="35"/>
      <c r="C5" s="37">
        <f t="shared" si="0"/>
        <v>73200</v>
      </c>
      <c r="D5" s="37">
        <f t="shared" si="1"/>
        <v>0</v>
      </c>
      <c r="E5" s="37">
        <f t="shared" si="2"/>
        <v>0</v>
      </c>
      <c r="F5" s="38">
        <f t="shared" si="3"/>
        <v>73200</v>
      </c>
      <c r="G5" s="37">
        <f t="shared" si="4"/>
        <v>73200</v>
      </c>
      <c r="H5" s="37">
        <f t="shared" si="5"/>
        <v>42402</v>
      </c>
      <c r="I5" s="37">
        <v>0</v>
      </c>
      <c r="J5" s="37">
        <f t="shared" si="6"/>
        <v>30798</v>
      </c>
    </row>
    <row r="6" hidden="1" customHeight="1" outlineLevel="1" spans="1:10">
      <c r="A6" s="35" t="s">
        <v>296</v>
      </c>
      <c r="B6" s="35"/>
      <c r="C6" s="37">
        <f t="shared" si="0"/>
        <v>36700</v>
      </c>
      <c r="D6" s="37">
        <f t="shared" si="1"/>
        <v>0</v>
      </c>
      <c r="E6" s="37">
        <f t="shared" si="2"/>
        <v>0</v>
      </c>
      <c r="F6" s="38">
        <f t="shared" si="3"/>
        <v>36700</v>
      </c>
      <c r="G6" s="37">
        <f t="shared" si="4"/>
        <v>36700</v>
      </c>
      <c r="H6" s="37">
        <f t="shared" si="5"/>
        <v>12000</v>
      </c>
      <c r="I6" s="37">
        <v>0</v>
      </c>
      <c r="J6" s="37">
        <f t="shared" si="6"/>
        <v>24700</v>
      </c>
    </row>
    <row r="7" hidden="1" customHeight="1" outlineLevel="1" spans="1:10">
      <c r="A7" s="35" t="s">
        <v>65</v>
      </c>
      <c r="B7" s="35"/>
      <c r="C7" s="37">
        <f t="shared" si="0"/>
        <v>20400</v>
      </c>
      <c r="D7" s="37">
        <f t="shared" si="1"/>
        <v>0</v>
      </c>
      <c r="E7" s="37">
        <f t="shared" si="2"/>
        <v>5900</v>
      </c>
      <c r="F7" s="38">
        <f t="shared" si="3"/>
        <v>14500</v>
      </c>
      <c r="G7" s="37">
        <f t="shared" si="4"/>
        <v>14500</v>
      </c>
      <c r="H7" s="37">
        <f t="shared" si="5"/>
        <v>10801</v>
      </c>
      <c r="I7" s="37">
        <v>0</v>
      </c>
      <c r="J7" s="37">
        <f t="shared" si="6"/>
        <v>9599</v>
      </c>
    </row>
    <row r="8" hidden="1" customHeight="1" outlineLevel="1" spans="1:10">
      <c r="A8" s="35" t="s">
        <v>100</v>
      </c>
      <c r="B8" s="35"/>
      <c r="C8" s="37">
        <f t="shared" si="0"/>
        <v>50000</v>
      </c>
      <c r="D8" s="37">
        <f t="shared" si="1"/>
        <v>0</v>
      </c>
      <c r="E8" s="37">
        <f t="shared" si="2"/>
        <v>0</v>
      </c>
      <c r="F8" s="38">
        <f t="shared" si="3"/>
        <v>50000</v>
      </c>
      <c r="G8" s="37">
        <f t="shared" si="4"/>
        <v>50000</v>
      </c>
      <c r="H8" s="37">
        <f t="shared" si="5"/>
        <v>21801</v>
      </c>
      <c r="I8" s="37">
        <v>0</v>
      </c>
      <c r="J8" s="37">
        <f t="shared" si="6"/>
        <v>28199</v>
      </c>
    </row>
    <row r="9" hidden="1" customHeight="1" outlineLevel="1" spans="1:10">
      <c r="A9" s="35" t="s">
        <v>354</v>
      </c>
      <c r="B9" s="35"/>
      <c r="C9" s="37">
        <f t="shared" si="0"/>
        <v>58500</v>
      </c>
      <c r="D9" s="37">
        <f t="shared" si="1"/>
        <v>0</v>
      </c>
      <c r="E9" s="37">
        <f t="shared" si="2"/>
        <v>0</v>
      </c>
      <c r="F9" s="38">
        <f t="shared" si="3"/>
        <v>58500</v>
      </c>
      <c r="G9" s="37">
        <f t="shared" si="4"/>
        <v>58500</v>
      </c>
      <c r="H9" s="37">
        <f t="shared" si="5"/>
        <v>15962</v>
      </c>
      <c r="I9" s="37">
        <v>0</v>
      </c>
      <c r="J9" s="37">
        <f t="shared" si="6"/>
        <v>42538</v>
      </c>
    </row>
    <row r="10" hidden="1" customHeight="1" outlineLevel="1" spans="1:10">
      <c r="A10" s="35" t="s">
        <v>337</v>
      </c>
      <c r="B10" s="35"/>
      <c r="C10" s="37">
        <f t="shared" si="0"/>
        <v>12300</v>
      </c>
      <c r="D10" s="37">
        <f t="shared" si="1"/>
        <v>0</v>
      </c>
      <c r="E10" s="37">
        <f t="shared" si="2"/>
        <v>0</v>
      </c>
      <c r="F10" s="38">
        <f t="shared" ref="F10" si="7">C10-E10</f>
        <v>12300</v>
      </c>
      <c r="G10" s="37">
        <f t="shared" ref="G10" si="8">F10+D10</f>
        <v>12300</v>
      </c>
      <c r="H10" s="37">
        <f t="shared" si="5"/>
        <v>4800</v>
      </c>
      <c r="I10" s="37">
        <v>0</v>
      </c>
      <c r="J10" s="37">
        <f t="shared" ref="J10" si="9">C10-H10-I10</f>
        <v>7500</v>
      </c>
    </row>
    <row r="11" ht="38.25" hidden="1" customHeight="1" outlineLevel="1" spans="1:10">
      <c r="A11" s="8" t="s">
        <v>412</v>
      </c>
      <c r="B11" s="8"/>
      <c r="C11" s="39">
        <f t="shared" ref="C11:J11" si="10">SUM(C3:C9)</f>
        <v>298600</v>
      </c>
      <c r="D11" s="39">
        <f t="shared" si="10"/>
        <v>2000</v>
      </c>
      <c r="E11" s="39">
        <f t="shared" si="10"/>
        <v>22100</v>
      </c>
      <c r="F11" s="39">
        <f t="shared" si="10"/>
        <v>276500</v>
      </c>
      <c r="G11" s="39">
        <f t="shared" si="10"/>
        <v>278500</v>
      </c>
      <c r="H11" s="39">
        <f t="shared" si="10"/>
        <v>132082</v>
      </c>
      <c r="I11" s="39">
        <f t="shared" si="10"/>
        <v>0</v>
      </c>
      <c r="J11" s="39">
        <f t="shared" si="10"/>
        <v>166518</v>
      </c>
    </row>
    <row r="12" customHeight="1" collapsed="1" spans="1:10">
      <c r="A12" s="14" t="s">
        <v>0</v>
      </c>
      <c r="B12" s="15" t="s">
        <v>1</v>
      </c>
      <c r="C12" s="15" t="s">
        <v>2</v>
      </c>
      <c r="D12" s="15" t="s">
        <v>3</v>
      </c>
      <c r="E12" s="16" t="s">
        <v>6</v>
      </c>
      <c r="F12" s="15" t="s">
        <v>5</v>
      </c>
      <c r="G12" s="14" t="s">
        <v>4</v>
      </c>
      <c r="H12" s="14" t="s">
        <v>405</v>
      </c>
      <c r="I12" s="16" t="s">
        <v>406</v>
      </c>
      <c r="J12" s="14" t="s">
        <v>408</v>
      </c>
    </row>
    <row r="13" customHeight="1" spans="1:10">
      <c r="A13" s="40" t="s">
        <v>7</v>
      </c>
      <c r="B13" s="41" t="s">
        <v>8</v>
      </c>
      <c r="C13" s="18" t="s">
        <v>9</v>
      </c>
      <c r="D13" s="19" t="s">
        <v>10</v>
      </c>
      <c r="E13" s="20">
        <v>554</v>
      </c>
      <c r="F13" s="19" t="s">
        <v>11</v>
      </c>
      <c r="G13" s="19">
        <v>1500</v>
      </c>
      <c r="H13" s="19"/>
      <c r="I13" s="19"/>
      <c r="J13" s="23">
        <f t="shared" ref="J13:J156" si="11">G13+H13-I13</f>
        <v>1500</v>
      </c>
    </row>
    <row r="14" customHeight="1" spans="1:10">
      <c r="A14" s="40" t="s">
        <v>12</v>
      </c>
      <c r="B14" s="41" t="s">
        <v>13</v>
      </c>
      <c r="C14" s="18" t="s">
        <v>9</v>
      </c>
      <c r="D14" s="19" t="s">
        <v>10</v>
      </c>
      <c r="E14" s="20">
        <v>554</v>
      </c>
      <c r="F14" s="19" t="s">
        <v>11</v>
      </c>
      <c r="G14" s="19">
        <v>1500</v>
      </c>
      <c r="H14" s="19"/>
      <c r="I14" s="19"/>
      <c r="J14" s="23">
        <f t="shared" si="11"/>
        <v>1500</v>
      </c>
    </row>
    <row r="15" customHeight="1" spans="1:10">
      <c r="A15" s="40" t="s">
        <v>14</v>
      </c>
      <c r="B15" s="41" t="s">
        <v>15</v>
      </c>
      <c r="C15" s="18" t="s">
        <v>9</v>
      </c>
      <c r="D15" s="19" t="s">
        <v>10</v>
      </c>
      <c r="E15" s="20">
        <v>554</v>
      </c>
      <c r="F15" s="19" t="s">
        <v>11</v>
      </c>
      <c r="G15" s="19">
        <v>1300</v>
      </c>
      <c r="H15" s="19"/>
      <c r="I15" s="19"/>
      <c r="J15" s="23">
        <f t="shared" si="11"/>
        <v>1300</v>
      </c>
    </row>
    <row r="16" customHeight="1" spans="1:10">
      <c r="A16" s="41" t="s">
        <v>16</v>
      </c>
      <c r="B16" s="41" t="s">
        <v>17</v>
      </c>
      <c r="C16" s="18" t="s">
        <v>9</v>
      </c>
      <c r="D16" s="19" t="s">
        <v>10</v>
      </c>
      <c r="E16" s="20">
        <v>554</v>
      </c>
      <c r="F16" s="19" t="s">
        <v>11</v>
      </c>
      <c r="G16" s="19">
        <v>1300</v>
      </c>
      <c r="H16" s="19">
        <v>2000</v>
      </c>
      <c r="I16" s="19">
        <v>2000</v>
      </c>
      <c r="J16" s="23">
        <f t="shared" si="11"/>
        <v>1300</v>
      </c>
    </row>
    <row r="17" customHeight="1" spans="1:10">
      <c r="A17" s="40" t="s">
        <v>18</v>
      </c>
      <c r="B17" s="41" t="s">
        <v>19</v>
      </c>
      <c r="C17" s="18" t="s">
        <v>9</v>
      </c>
      <c r="D17" s="19" t="s">
        <v>10</v>
      </c>
      <c r="E17" s="20">
        <v>600</v>
      </c>
      <c r="F17" s="19" t="s">
        <v>11</v>
      </c>
      <c r="G17" s="19">
        <v>1300</v>
      </c>
      <c r="H17" s="19"/>
      <c r="I17" s="19">
        <v>1300</v>
      </c>
      <c r="J17" s="23">
        <f t="shared" si="11"/>
        <v>0</v>
      </c>
    </row>
    <row r="18" customHeight="1" spans="1:10">
      <c r="A18" s="41" t="s">
        <v>20</v>
      </c>
      <c r="B18" s="41" t="s">
        <v>21</v>
      </c>
      <c r="C18" s="18" t="s">
        <v>9</v>
      </c>
      <c r="D18" s="19" t="s">
        <v>22</v>
      </c>
      <c r="E18" s="20">
        <v>800</v>
      </c>
      <c r="F18" s="19" t="s">
        <v>11</v>
      </c>
      <c r="G18" s="19">
        <v>2000</v>
      </c>
      <c r="H18" s="19"/>
      <c r="I18" s="19"/>
      <c r="J18" s="23">
        <f t="shared" si="11"/>
        <v>2000</v>
      </c>
    </row>
    <row r="19" customHeight="1" spans="1:10">
      <c r="A19" s="41" t="s">
        <v>23</v>
      </c>
      <c r="B19" s="41" t="s">
        <v>24</v>
      </c>
      <c r="C19" s="18" t="s">
        <v>9</v>
      </c>
      <c r="D19" s="19" t="s">
        <v>10</v>
      </c>
      <c r="E19" s="20">
        <v>600</v>
      </c>
      <c r="F19" s="19" t="s">
        <v>11</v>
      </c>
      <c r="G19" s="19">
        <v>1300</v>
      </c>
      <c r="H19" s="19"/>
      <c r="I19" s="19"/>
      <c r="J19" s="23">
        <f t="shared" si="11"/>
        <v>1300</v>
      </c>
    </row>
    <row r="20" customHeight="1" spans="1:10">
      <c r="A20" s="41" t="s">
        <v>25</v>
      </c>
      <c r="B20" s="41" t="s">
        <v>26</v>
      </c>
      <c r="C20" s="18" t="s">
        <v>9</v>
      </c>
      <c r="D20" s="19" t="s">
        <v>10</v>
      </c>
      <c r="E20" s="20">
        <v>600</v>
      </c>
      <c r="F20" s="19" t="s">
        <v>11</v>
      </c>
      <c r="G20" s="19">
        <v>1300</v>
      </c>
      <c r="H20" s="19"/>
      <c r="I20" s="19">
        <v>1300</v>
      </c>
      <c r="J20" s="23">
        <f t="shared" si="11"/>
        <v>0</v>
      </c>
    </row>
    <row r="21" customHeight="1" spans="1:10">
      <c r="A21" s="41" t="s">
        <v>27</v>
      </c>
      <c r="B21" s="41" t="s">
        <v>28</v>
      </c>
      <c r="C21" s="18" t="s">
        <v>9</v>
      </c>
      <c r="D21" s="19" t="s">
        <v>22</v>
      </c>
      <c r="E21" s="20">
        <v>600</v>
      </c>
      <c r="F21" s="19" t="s">
        <v>11</v>
      </c>
      <c r="G21" s="19">
        <v>1300</v>
      </c>
      <c r="H21" s="19"/>
      <c r="I21" s="19"/>
      <c r="J21" s="23">
        <f t="shared" si="11"/>
        <v>1300</v>
      </c>
    </row>
    <row r="22" customHeight="1" spans="1:10">
      <c r="A22" s="41" t="s">
        <v>29</v>
      </c>
      <c r="B22" s="41" t="s">
        <v>30</v>
      </c>
      <c r="C22" s="18" t="s">
        <v>9</v>
      </c>
      <c r="D22" s="19" t="s">
        <v>10</v>
      </c>
      <c r="E22" s="20">
        <v>1200</v>
      </c>
      <c r="F22" s="19" t="s">
        <v>11</v>
      </c>
      <c r="G22" s="19">
        <v>1300</v>
      </c>
      <c r="H22" s="19"/>
      <c r="I22" s="19"/>
      <c r="J22" s="23">
        <f t="shared" si="11"/>
        <v>1300</v>
      </c>
    </row>
    <row r="23" customHeight="1" spans="1:10">
      <c r="A23" s="41" t="s">
        <v>31</v>
      </c>
      <c r="B23" s="41" t="s">
        <v>32</v>
      </c>
      <c r="C23" s="18" t="s">
        <v>9</v>
      </c>
      <c r="D23" s="19" t="s">
        <v>10</v>
      </c>
      <c r="E23" s="20">
        <v>1200</v>
      </c>
      <c r="F23" s="19" t="s">
        <v>11</v>
      </c>
      <c r="G23" s="19">
        <v>1500</v>
      </c>
      <c r="H23" s="19"/>
      <c r="I23" s="19"/>
      <c r="J23" s="23">
        <f t="shared" si="11"/>
        <v>1500</v>
      </c>
    </row>
    <row r="24" customHeight="1" spans="1:10">
      <c r="A24" s="41" t="s">
        <v>33</v>
      </c>
      <c r="B24" s="41" t="s">
        <v>34</v>
      </c>
      <c r="C24" s="18" t="s">
        <v>9</v>
      </c>
      <c r="D24" s="19" t="s">
        <v>10</v>
      </c>
      <c r="E24" s="20">
        <v>600</v>
      </c>
      <c r="F24" s="19" t="s">
        <v>11</v>
      </c>
      <c r="G24" s="19">
        <v>1000</v>
      </c>
      <c r="H24" s="19"/>
      <c r="I24" s="19">
        <v>1000</v>
      </c>
      <c r="J24" s="23">
        <f t="shared" si="11"/>
        <v>0</v>
      </c>
    </row>
    <row r="25" customHeight="1" spans="1:10">
      <c r="A25" s="41" t="s">
        <v>35</v>
      </c>
      <c r="B25" s="41" t="s">
        <v>36</v>
      </c>
      <c r="C25" s="18" t="s">
        <v>9</v>
      </c>
      <c r="D25" s="19" t="s">
        <v>10</v>
      </c>
      <c r="E25" s="20">
        <v>600</v>
      </c>
      <c r="F25" s="19" t="s">
        <v>11</v>
      </c>
      <c r="G25" s="19">
        <v>1300</v>
      </c>
      <c r="H25" s="19"/>
      <c r="I25" s="19">
        <v>1300</v>
      </c>
      <c r="J25" s="23">
        <f t="shared" si="11"/>
        <v>0</v>
      </c>
    </row>
    <row r="26" customHeight="1" spans="1:10">
      <c r="A26" s="41" t="s">
        <v>37</v>
      </c>
      <c r="B26" s="41" t="s">
        <v>38</v>
      </c>
      <c r="C26" s="18" t="s">
        <v>9</v>
      </c>
      <c r="D26" s="19" t="s">
        <v>10</v>
      </c>
      <c r="E26" s="20">
        <v>600</v>
      </c>
      <c r="F26" s="19" t="s">
        <v>11</v>
      </c>
      <c r="G26" s="19">
        <v>1500</v>
      </c>
      <c r="H26" s="19"/>
      <c r="I26" s="19"/>
      <c r="J26" s="23">
        <f t="shared" si="11"/>
        <v>1500</v>
      </c>
    </row>
    <row r="27" customHeight="1" spans="1:10">
      <c r="A27" s="41" t="s">
        <v>39</v>
      </c>
      <c r="B27" s="41" t="s">
        <v>40</v>
      </c>
      <c r="C27" s="18" t="s">
        <v>9</v>
      </c>
      <c r="D27" s="19" t="s">
        <v>10</v>
      </c>
      <c r="E27" s="20">
        <v>600</v>
      </c>
      <c r="F27" s="19" t="s">
        <v>11</v>
      </c>
      <c r="G27" s="19">
        <v>1300</v>
      </c>
      <c r="H27" s="19"/>
      <c r="I27" s="19"/>
      <c r="J27" s="23">
        <f t="shared" si="11"/>
        <v>1300</v>
      </c>
    </row>
    <row r="28" customHeight="1" spans="1:10">
      <c r="A28" s="41" t="s">
        <v>41</v>
      </c>
      <c r="B28" s="41" t="s">
        <v>42</v>
      </c>
      <c r="C28" s="18" t="s">
        <v>9</v>
      </c>
      <c r="D28" s="19" t="s">
        <v>10</v>
      </c>
      <c r="E28" s="20">
        <v>600</v>
      </c>
      <c r="F28" s="19" t="s">
        <v>11</v>
      </c>
      <c r="G28" s="19">
        <v>1300</v>
      </c>
      <c r="H28" s="19"/>
      <c r="I28" s="19"/>
      <c r="J28" s="23">
        <f t="shared" si="11"/>
        <v>1300</v>
      </c>
    </row>
    <row r="29" customHeight="1" spans="1:10">
      <c r="A29" s="41" t="s">
        <v>43</v>
      </c>
      <c r="B29" s="41" t="s">
        <v>44</v>
      </c>
      <c r="C29" s="18" t="s">
        <v>9</v>
      </c>
      <c r="D29" s="19" t="s">
        <v>10</v>
      </c>
      <c r="E29" s="20">
        <v>1200</v>
      </c>
      <c r="F29" s="19" t="s">
        <v>11</v>
      </c>
      <c r="G29" s="19">
        <v>1500</v>
      </c>
      <c r="H29" s="19"/>
      <c r="I29" s="19">
        <v>1500</v>
      </c>
      <c r="J29" s="23">
        <f t="shared" si="11"/>
        <v>0</v>
      </c>
    </row>
    <row r="30" customHeight="1" spans="1:27">
      <c r="A30" s="41" t="s">
        <v>45</v>
      </c>
      <c r="B30" s="41" t="s">
        <v>46</v>
      </c>
      <c r="C30" s="18" t="s">
        <v>9</v>
      </c>
      <c r="D30" s="19" t="s">
        <v>10</v>
      </c>
      <c r="E30" s="20">
        <v>2500</v>
      </c>
      <c r="F30" s="19" t="s">
        <v>11</v>
      </c>
      <c r="G30" s="19">
        <v>4500</v>
      </c>
      <c r="H30" s="19"/>
      <c r="I30" s="19">
        <v>4500</v>
      </c>
      <c r="J30" s="23">
        <f t="shared" si="11"/>
        <v>0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customHeight="1" spans="1:27">
      <c r="A31" s="41" t="s">
        <v>47</v>
      </c>
      <c r="B31" s="41" t="s">
        <v>48</v>
      </c>
      <c r="C31" s="18" t="s">
        <v>9</v>
      </c>
      <c r="D31" s="19" t="s">
        <v>10</v>
      </c>
      <c r="E31" s="20">
        <v>600</v>
      </c>
      <c r="F31" s="19" t="s">
        <v>11</v>
      </c>
      <c r="G31" s="19">
        <v>1500</v>
      </c>
      <c r="H31" s="19"/>
      <c r="I31" s="19"/>
      <c r="J31" s="23">
        <f t="shared" si="11"/>
        <v>1500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customHeight="1" spans="1:27">
      <c r="A32" s="41" t="s">
        <v>49</v>
      </c>
      <c r="B32" s="41" t="s">
        <v>50</v>
      </c>
      <c r="C32" s="18" t="s">
        <v>9</v>
      </c>
      <c r="D32" s="19" t="s">
        <v>10</v>
      </c>
      <c r="E32" s="20">
        <v>600</v>
      </c>
      <c r="F32" s="19" t="s">
        <v>11</v>
      </c>
      <c r="G32" s="19">
        <v>1500</v>
      </c>
      <c r="H32" s="19"/>
      <c r="I32" s="19"/>
      <c r="J32" s="23">
        <f t="shared" si="11"/>
        <v>1500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customHeight="1" spans="1:27">
      <c r="A33" s="41" t="s">
        <v>51</v>
      </c>
      <c r="B33" s="41" t="s">
        <v>52</v>
      </c>
      <c r="C33" s="18" t="s">
        <v>9</v>
      </c>
      <c r="D33" s="19" t="s">
        <v>10</v>
      </c>
      <c r="E33" s="20">
        <v>1200</v>
      </c>
      <c r="F33" s="19" t="s">
        <v>11</v>
      </c>
      <c r="G33" s="19">
        <v>2000</v>
      </c>
      <c r="H33" s="19"/>
      <c r="I33" s="19">
        <v>2000</v>
      </c>
      <c r="J33" s="23">
        <f t="shared" si="11"/>
        <v>0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customHeight="1" spans="1:27">
      <c r="A34" s="41" t="s">
        <v>53</v>
      </c>
      <c r="B34" s="41" t="s">
        <v>54</v>
      </c>
      <c r="C34" s="18" t="s">
        <v>9</v>
      </c>
      <c r="D34" s="19" t="s">
        <v>10</v>
      </c>
      <c r="E34" s="20">
        <v>800</v>
      </c>
      <c r="F34" s="19" t="s">
        <v>11</v>
      </c>
      <c r="G34" s="19">
        <v>1800</v>
      </c>
      <c r="H34" s="19"/>
      <c r="I34" s="19"/>
      <c r="J34" s="23">
        <f t="shared" si="11"/>
        <v>1800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customHeight="1" spans="1:27">
      <c r="A35" s="41" t="s">
        <v>55</v>
      </c>
      <c r="B35" s="41" t="s">
        <v>56</v>
      </c>
      <c r="C35" s="18" t="s">
        <v>9</v>
      </c>
      <c r="D35" s="19" t="s">
        <v>10</v>
      </c>
      <c r="E35" s="20">
        <v>600</v>
      </c>
      <c r="F35" s="19" t="s">
        <v>11</v>
      </c>
      <c r="G35" s="19">
        <v>2000</v>
      </c>
      <c r="H35" s="19"/>
      <c r="I35" s="19"/>
      <c r="J35" s="23">
        <f t="shared" si="11"/>
        <v>2000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customHeight="1" spans="1:27">
      <c r="A36" s="41" t="s">
        <v>57</v>
      </c>
      <c r="B36" s="41" t="s">
        <v>58</v>
      </c>
      <c r="C36" s="18" t="s">
        <v>9</v>
      </c>
      <c r="D36" s="19" t="s">
        <v>10</v>
      </c>
      <c r="E36" s="20">
        <v>600</v>
      </c>
      <c r="F36" s="19" t="s">
        <v>11</v>
      </c>
      <c r="G36" s="19">
        <v>1300</v>
      </c>
      <c r="H36" s="19"/>
      <c r="I36" s="19">
        <v>1300</v>
      </c>
      <c r="J36" s="23">
        <f t="shared" si="11"/>
        <v>0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customHeight="1" spans="1:27">
      <c r="A37" s="41" t="s">
        <v>59</v>
      </c>
      <c r="B37" s="41" t="s">
        <v>60</v>
      </c>
      <c r="C37" s="18" t="s">
        <v>9</v>
      </c>
      <c r="D37" s="19" t="s">
        <v>10</v>
      </c>
      <c r="E37" s="20">
        <v>600</v>
      </c>
      <c r="F37" s="19" t="s">
        <v>11</v>
      </c>
      <c r="G37" s="19">
        <v>1300</v>
      </c>
      <c r="H37" s="19"/>
      <c r="I37" s="19"/>
      <c r="J37" s="23">
        <f t="shared" si="11"/>
        <v>1300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customHeight="1" spans="1:27">
      <c r="A38" s="41" t="s">
        <v>61</v>
      </c>
      <c r="B38" s="41" t="s">
        <v>62</v>
      </c>
      <c r="C38" s="18" t="s">
        <v>9</v>
      </c>
      <c r="D38" s="19" t="s">
        <v>10</v>
      </c>
      <c r="E38" s="20">
        <v>600</v>
      </c>
      <c r="F38" s="19" t="s">
        <v>11</v>
      </c>
      <c r="G38" s="19">
        <v>0</v>
      </c>
      <c r="H38" s="19"/>
      <c r="I38" s="19">
        <v>0</v>
      </c>
      <c r="J38" s="23">
        <f t="shared" si="11"/>
        <v>0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customHeight="1" spans="1:27">
      <c r="A39" s="41" t="s">
        <v>63</v>
      </c>
      <c r="B39" s="41" t="s">
        <v>64</v>
      </c>
      <c r="C39" s="17" t="s">
        <v>65</v>
      </c>
      <c r="D39" s="19" t="s">
        <v>10</v>
      </c>
      <c r="E39" s="20">
        <v>800</v>
      </c>
      <c r="F39" s="19" t="s">
        <v>11</v>
      </c>
      <c r="G39" s="19">
        <v>1000</v>
      </c>
      <c r="H39" s="19"/>
      <c r="I39" s="19"/>
      <c r="J39" s="23">
        <f t="shared" si="11"/>
        <v>1000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customHeight="1" spans="1:27">
      <c r="A40" s="41" t="s">
        <v>66</v>
      </c>
      <c r="B40" s="41" t="s">
        <v>67</v>
      </c>
      <c r="C40" s="17" t="s">
        <v>65</v>
      </c>
      <c r="D40" s="19" t="s">
        <v>10</v>
      </c>
      <c r="E40" s="20">
        <v>800</v>
      </c>
      <c r="F40" s="19" t="s">
        <v>11</v>
      </c>
      <c r="G40" s="19">
        <v>800</v>
      </c>
      <c r="H40" s="19"/>
      <c r="I40" s="19"/>
      <c r="J40" s="23">
        <f t="shared" si="11"/>
        <v>800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customHeight="1" spans="1:27">
      <c r="A41" s="41" t="s">
        <v>68</v>
      </c>
      <c r="B41" s="41" t="s">
        <v>69</v>
      </c>
      <c r="C41" s="17" t="s">
        <v>65</v>
      </c>
      <c r="D41" s="19" t="s">
        <v>10</v>
      </c>
      <c r="E41" s="20">
        <v>600</v>
      </c>
      <c r="F41" s="19" t="s">
        <v>11</v>
      </c>
      <c r="G41" s="19">
        <v>1500</v>
      </c>
      <c r="H41" s="19"/>
      <c r="I41" s="19">
        <v>1500</v>
      </c>
      <c r="J41" s="23">
        <f t="shared" si="11"/>
        <v>0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customHeight="1" spans="1:27">
      <c r="A42" s="42" t="s">
        <v>70</v>
      </c>
      <c r="B42" s="41" t="s">
        <v>71</v>
      </c>
      <c r="C42" s="17" t="s">
        <v>65</v>
      </c>
      <c r="D42" s="19" t="s">
        <v>10</v>
      </c>
      <c r="E42" s="20">
        <v>600</v>
      </c>
      <c r="F42" s="19" t="s">
        <v>11</v>
      </c>
      <c r="G42" s="19">
        <v>1800</v>
      </c>
      <c r="H42" s="19"/>
      <c r="I42" s="19">
        <v>1800</v>
      </c>
      <c r="J42" s="23">
        <f t="shared" si="11"/>
        <v>0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customHeight="1" spans="1:27">
      <c r="A43" s="41" t="s">
        <v>72</v>
      </c>
      <c r="B43" s="41" t="s">
        <v>73</v>
      </c>
      <c r="C43" s="17" t="s">
        <v>65</v>
      </c>
      <c r="D43" s="19" t="s">
        <v>10</v>
      </c>
      <c r="E43" s="20">
        <v>600</v>
      </c>
      <c r="F43" s="19" t="s">
        <v>11</v>
      </c>
      <c r="G43" s="19">
        <v>1300</v>
      </c>
      <c r="H43" s="19"/>
      <c r="I43" s="19">
        <v>1300</v>
      </c>
      <c r="J43" s="23">
        <f t="shared" si="11"/>
        <v>0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customHeight="1" spans="1:27">
      <c r="A44" s="41" t="s">
        <v>74</v>
      </c>
      <c r="B44" s="41" t="s">
        <v>75</v>
      </c>
      <c r="C44" s="17" t="s">
        <v>65</v>
      </c>
      <c r="D44" s="19" t="s">
        <v>10</v>
      </c>
      <c r="E44" s="20">
        <v>1200</v>
      </c>
      <c r="F44" s="19" t="s">
        <v>11</v>
      </c>
      <c r="G44" s="19">
        <v>1300</v>
      </c>
      <c r="H44" s="19"/>
      <c r="I44" s="19">
        <v>1300</v>
      </c>
      <c r="J44" s="23">
        <f t="shared" si="11"/>
        <v>0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customHeight="1" spans="1:27">
      <c r="A45" s="41" t="s">
        <v>76</v>
      </c>
      <c r="B45" s="41" t="s">
        <v>77</v>
      </c>
      <c r="C45" s="17" t="s">
        <v>65</v>
      </c>
      <c r="D45" s="19" t="s">
        <v>10</v>
      </c>
      <c r="E45" s="20">
        <v>600</v>
      </c>
      <c r="F45" s="19" t="s">
        <v>11</v>
      </c>
      <c r="G45" s="19">
        <v>1000</v>
      </c>
      <c r="H45" s="19"/>
      <c r="I45" s="19"/>
      <c r="J45" s="23">
        <f t="shared" si="11"/>
        <v>1000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customHeight="1" spans="1:27">
      <c r="A46" s="41" t="s">
        <v>78</v>
      </c>
      <c r="B46" s="41" t="s">
        <v>79</v>
      </c>
      <c r="C46" s="17" t="s">
        <v>65</v>
      </c>
      <c r="D46" s="19" t="s">
        <v>80</v>
      </c>
      <c r="E46" s="20">
        <v>601</v>
      </c>
      <c r="F46" s="19" t="s">
        <v>11</v>
      </c>
      <c r="G46" s="19">
        <v>2000</v>
      </c>
      <c r="H46" s="19"/>
      <c r="I46" s="19"/>
      <c r="J46" s="23">
        <f t="shared" ref="J46" si="12">G46+H46-I46</f>
        <v>2000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customHeight="1" spans="1:27">
      <c r="A47" s="41" t="s">
        <v>81</v>
      </c>
      <c r="B47" s="41" t="s">
        <v>82</v>
      </c>
      <c r="C47" s="17" t="s">
        <v>65</v>
      </c>
      <c r="D47" s="19" t="s">
        <v>83</v>
      </c>
      <c r="E47" s="20">
        <v>600</v>
      </c>
      <c r="F47" s="19" t="s">
        <v>11</v>
      </c>
      <c r="G47" s="19">
        <v>1300</v>
      </c>
      <c r="H47" s="19"/>
      <c r="I47" s="19"/>
      <c r="J47" s="23">
        <f t="shared" si="11"/>
        <v>1300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customHeight="1" spans="1:27">
      <c r="A48" s="41" t="s">
        <v>84</v>
      </c>
      <c r="B48" s="41" t="s">
        <v>85</v>
      </c>
      <c r="C48" s="21" t="s">
        <v>65</v>
      </c>
      <c r="D48" s="19" t="s">
        <v>10</v>
      </c>
      <c r="E48" s="20">
        <v>600</v>
      </c>
      <c r="F48" s="19" t="s">
        <v>11</v>
      </c>
      <c r="G48" s="19">
        <v>1000</v>
      </c>
      <c r="H48" s="19"/>
      <c r="I48" s="19"/>
      <c r="J48" s="23">
        <f t="shared" si="11"/>
        <v>1000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customHeight="1" spans="1:27">
      <c r="A49" s="41" t="s">
        <v>86</v>
      </c>
      <c r="B49" s="41" t="s">
        <v>87</v>
      </c>
      <c r="C49" s="21" t="s">
        <v>65</v>
      </c>
      <c r="D49" s="19" t="s">
        <v>10</v>
      </c>
      <c r="E49" s="20">
        <v>600</v>
      </c>
      <c r="F49" s="19" t="s">
        <v>11</v>
      </c>
      <c r="G49" s="19">
        <v>1000</v>
      </c>
      <c r="H49" s="19"/>
      <c r="I49" s="19"/>
      <c r="J49" s="23">
        <f t="shared" si="11"/>
        <v>1000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customHeight="1" spans="1:27">
      <c r="A50" s="41" t="s">
        <v>88</v>
      </c>
      <c r="B50" s="41" t="s">
        <v>89</v>
      </c>
      <c r="C50" s="21" t="s">
        <v>65</v>
      </c>
      <c r="D50" s="19" t="s">
        <v>10</v>
      </c>
      <c r="E50" s="20">
        <v>600</v>
      </c>
      <c r="F50" s="19" t="s">
        <v>11</v>
      </c>
      <c r="G50" s="19">
        <v>1300</v>
      </c>
      <c r="H50" s="19"/>
      <c r="I50" s="19"/>
      <c r="J50" s="23">
        <f t="shared" si="11"/>
        <v>1300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customHeight="1" spans="1:27">
      <c r="A51" s="41" t="s">
        <v>90</v>
      </c>
      <c r="B51" s="41" t="s">
        <v>91</v>
      </c>
      <c r="C51" s="21" t="s">
        <v>65</v>
      </c>
      <c r="D51" s="19" t="s">
        <v>22</v>
      </c>
      <c r="E51" s="20">
        <v>600</v>
      </c>
      <c r="F51" s="19" t="s">
        <v>11</v>
      </c>
      <c r="G51" s="19">
        <v>1300</v>
      </c>
      <c r="H51" s="19"/>
      <c r="I51" s="19"/>
      <c r="J51" s="23">
        <f t="shared" si="11"/>
        <v>1300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customHeight="1" spans="1:27">
      <c r="A52" s="41" t="s">
        <v>92</v>
      </c>
      <c r="B52" s="41" t="s">
        <v>93</v>
      </c>
      <c r="C52" s="21" t="s">
        <v>65</v>
      </c>
      <c r="D52" s="19" t="s">
        <v>10</v>
      </c>
      <c r="E52" s="20">
        <v>600</v>
      </c>
      <c r="F52" s="19" t="s">
        <v>11</v>
      </c>
      <c r="G52" s="19">
        <v>1000</v>
      </c>
      <c r="H52" s="19"/>
      <c r="I52" s="19"/>
      <c r="J52" s="23">
        <f t="shared" si="11"/>
        <v>1000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customHeight="1" spans="1:27">
      <c r="A53" s="41" t="s">
        <v>94</v>
      </c>
      <c r="B53" s="41" t="s">
        <v>95</v>
      </c>
      <c r="C53" s="21" t="s">
        <v>65</v>
      </c>
      <c r="D53" s="19" t="s">
        <v>22</v>
      </c>
      <c r="E53" s="20">
        <v>800</v>
      </c>
      <c r="F53" s="19" t="s">
        <v>11</v>
      </c>
      <c r="G53" s="19">
        <v>1500</v>
      </c>
      <c r="H53" s="19"/>
      <c r="I53" s="19"/>
      <c r="J53" s="23">
        <f t="shared" si="11"/>
        <v>1500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customHeight="1" spans="1:27">
      <c r="A54" s="41" t="s">
        <v>96</v>
      </c>
      <c r="B54" s="41" t="s">
        <v>97</v>
      </c>
      <c r="C54" s="21" t="s">
        <v>65</v>
      </c>
      <c r="D54" s="19" t="s">
        <v>10</v>
      </c>
      <c r="E54" s="20">
        <v>600</v>
      </c>
      <c r="F54" s="19" t="s">
        <v>11</v>
      </c>
      <c r="G54" s="19">
        <v>1300</v>
      </c>
      <c r="H54" s="19"/>
      <c r="I54" s="19"/>
      <c r="J54" s="23">
        <f t="shared" si="11"/>
        <v>1300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customHeight="1" spans="1:27">
      <c r="A55" s="41" t="s">
        <v>98</v>
      </c>
      <c r="B55" s="41" t="s">
        <v>99</v>
      </c>
      <c r="C55" s="21" t="s">
        <v>100</v>
      </c>
      <c r="D55" s="19" t="s">
        <v>10</v>
      </c>
      <c r="E55" s="20">
        <v>800</v>
      </c>
      <c r="F55" s="19" t="s">
        <v>11</v>
      </c>
      <c r="G55" s="19">
        <v>1500</v>
      </c>
      <c r="H55" s="19"/>
      <c r="I55" s="19"/>
      <c r="J55" s="23">
        <f t="shared" si="11"/>
        <v>1500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customHeight="1" spans="1:27">
      <c r="A56" s="41" t="s">
        <v>101</v>
      </c>
      <c r="B56" s="41" t="s">
        <v>102</v>
      </c>
      <c r="C56" s="21" t="s">
        <v>100</v>
      </c>
      <c r="D56" s="19" t="s">
        <v>10</v>
      </c>
      <c r="E56" s="20">
        <v>600</v>
      </c>
      <c r="F56" s="19" t="s">
        <v>11</v>
      </c>
      <c r="G56" s="19">
        <v>2000</v>
      </c>
      <c r="H56" s="19"/>
      <c r="I56" s="19"/>
      <c r="J56" s="23">
        <f t="shared" si="11"/>
        <v>2000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customHeight="1" spans="1:27">
      <c r="A57" s="41" t="s">
        <v>103</v>
      </c>
      <c r="B57" s="41" t="s">
        <v>104</v>
      </c>
      <c r="C57" s="21" t="s">
        <v>100</v>
      </c>
      <c r="D57" s="19" t="s">
        <v>80</v>
      </c>
      <c r="E57" s="20">
        <v>601</v>
      </c>
      <c r="F57" s="19" t="s">
        <v>11</v>
      </c>
      <c r="G57" s="19">
        <v>1500</v>
      </c>
      <c r="H57" s="19"/>
      <c r="I57" s="19"/>
      <c r="J57" s="23">
        <f t="shared" ref="J57" si="13">G57+H57-I57</f>
        <v>1500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customHeight="1" spans="1:27">
      <c r="A58" s="41" t="s">
        <v>105</v>
      </c>
      <c r="B58" s="41" t="s">
        <v>106</v>
      </c>
      <c r="C58" s="21" t="s">
        <v>100</v>
      </c>
      <c r="D58" s="19" t="s">
        <v>10</v>
      </c>
      <c r="E58" s="20">
        <v>600</v>
      </c>
      <c r="F58" s="19" t="s">
        <v>11</v>
      </c>
      <c r="G58" s="19">
        <v>2000</v>
      </c>
      <c r="H58" s="19"/>
      <c r="I58" s="19"/>
      <c r="J58" s="23">
        <f t="shared" si="11"/>
        <v>2000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customHeight="1" spans="1:27">
      <c r="A59" s="41" t="s">
        <v>107</v>
      </c>
      <c r="B59" s="41" t="s">
        <v>108</v>
      </c>
      <c r="C59" s="21" t="s">
        <v>100</v>
      </c>
      <c r="D59" s="19" t="s">
        <v>10</v>
      </c>
      <c r="E59" s="20">
        <v>600</v>
      </c>
      <c r="F59" s="19" t="s">
        <v>11</v>
      </c>
      <c r="G59" s="19">
        <v>2000</v>
      </c>
      <c r="H59" s="19"/>
      <c r="I59" s="19"/>
      <c r="J59" s="23">
        <f t="shared" si="11"/>
        <v>2000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customHeight="1" spans="1:27">
      <c r="A60" s="41" t="s">
        <v>109</v>
      </c>
      <c r="B60" s="41" t="s">
        <v>110</v>
      </c>
      <c r="C60" s="21" t="s">
        <v>100</v>
      </c>
      <c r="D60" s="19" t="s">
        <v>10</v>
      </c>
      <c r="E60" s="20">
        <v>600</v>
      </c>
      <c r="F60" s="19" t="s">
        <v>11</v>
      </c>
      <c r="G60" s="19">
        <v>1500</v>
      </c>
      <c r="H60" s="19"/>
      <c r="I60" s="19"/>
      <c r="J60" s="23">
        <f t="shared" si="11"/>
        <v>1500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customHeight="1" spans="1:27">
      <c r="A61" s="40" t="s">
        <v>111</v>
      </c>
      <c r="B61" s="41" t="s">
        <v>112</v>
      </c>
      <c r="C61" s="21" t="s">
        <v>100</v>
      </c>
      <c r="D61" s="19" t="s">
        <v>22</v>
      </c>
      <c r="E61" s="20">
        <v>600</v>
      </c>
      <c r="F61" s="19" t="s">
        <v>11</v>
      </c>
      <c r="G61" s="19">
        <v>1500</v>
      </c>
      <c r="H61" s="19"/>
      <c r="I61" s="19"/>
      <c r="J61" s="23">
        <f t="shared" si="11"/>
        <v>1500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customHeight="1" spans="1:27">
      <c r="A62" s="41" t="s">
        <v>113</v>
      </c>
      <c r="B62" s="41" t="s">
        <v>114</v>
      </c>
      <c r="C62" s="21" t="s">
        <v>100</v>
      </c>
      <c r="D62" s="19" t="s">
        <v>22</v>
      </c>
      <c r="E62" s="20">
        <v>800</v>
      </c>
      <c r="F62" s="19" t="s">
        <v>11</v>
      </c>
      <c r="G62" s="19">
        <v>1500</v>
      </c>
      <c r="H62" s="19"/>
      <c r="I62" s="43"/>
      <c r="J62" s="23">
        <f t="shared" si="11"/>
        <v>1500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customHeight="1" spans="1:27">
      <c r="A63" s="41" t="s">
        <v>115</v>
      </c>
      <c r="B63" s="41" t="s">
        <v>116</v>
      </c>
      <c r="C63" s="21" t="s">
        <v>100</v>
      </c>
      <c r="D63" s="19" t="s">
        <v>117</v>
      </c>
      <c r="E63" s="20">
        <v>1200</v>
      </c>
      <c r="F63" s="19" t="s">
        <v>11</v>
      </c>
      <c r="G63" s="19">
        <v>1500</v>
      </c>
      <c r="H63" s="19"/>
      <c r="I63" s="19"/>
      <c r="J63" s="23">
        <f t="shared" si="11"/>
        <v>1500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customHeight="1" spans="1:27">
      <c r="A64" s="41" t="s">
        <v>118</v>
      </c>
      <c r="B64" s="41" t="s">
        <v>119</v>
      </c>
      <c r="C64" s="21" t="s">
        <v>100</v>
      </c>
      <c r="D64" s="19" t="s">
        <v>120</v>
      </c>
      <c r="E64" s="20">
        <v>800</v>
      </c>
      <c r="F64" s="19" t="s">
        <v>11</v>
      </c>
      <c r="G64" s="19">
        <v>1500</v>
      </c>
      <c r="H64" s="19"/>
      <c r="I64" s="19"/>
      <c r="J64" s="23">
        <f t="shared" si="11"/>
        <v>1500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customHeight="1" spans="1:27">
      <c r="A65" s="41" t="s">
        <v>121</v>
      </c>
      <c r="B65" s="41" t="s">
        <v>122</v>
      </c>
      <c r="C65" s="21" t="s">
        <v>100</v>
      </c>
      <c r="D65" s="19" t="s">
        <v>10</v>
      </c>
      <c r="E65" s="20">
        <v>600</v>
      </c>
      <c r="F65" s="19" t="s">
        <v>11</v>
      </c>
      <c r="G65" s="19">
        <v>1500</v>
      </c>
      <c r="H65" s="19"/>
      <c r="I65" s="19"/>
      <c r="J65" s="23">
        <f t="shared" si="11"/>
        <v>1500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customHeight="1" spans="1:27">
      <c r="A66" s="40" t="s">
        <v>123</v>
      </c>
      <c r="B66" s="41" t="s">
        <v>124</v>
      </c>
      <c r="C66" s="21" t="s">
        <v>100</v>
      </c>
      <c r="D66" s="19" t="s">
        <v>10</v>
      </c>
      <c r="E66" s="20">
        <v>600</v>
      </c>
      <c r="F66" s="19" t="s">
        <v>11</v>
      </c>
      <c r="G66" s="19">
        <v>1500</v>
      </c>
      <c r="H66" s="19"/>
      <c r="I66" s="19"/>
      <c r="J66" s="23">
        <f t="shared" si="11"/>
        <v>1500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customHeight="1" spans="1:27">
      <c r="A67" s="41" t="s">
        <v>125</v>
      </c>
      <c r="B67" s="41" t="s">
        <v>126</v>
      </c>
      <c r="C67" s="21" t="s">
        <v>100</v>
      </c>
      <c r="D67" s="19" t="s">
        <v>117</v>
      </c>
      <c r="E67" s="20">
        <v>600</v>
      </c>
      <c r="F67" s="19" t="s">
        <v>11</v>
      </c>
      <c r="G67" s="19">
        <v>1500</v>
      </c>
      <c r="H67" s="19"/>
      <c r="I67" s="19"/>
      <c r="J67" s="23">
        <f t="shared" si="11"/>
        <v>1500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customHeight="1" spans="1:27">
      <c r="A68" s="41" t="s">
        <v>127</v>
      </c>
      <c r="B68" s="41" t="s">
        <v>128</v>
      </c>
      <c r="C68" s="21" t="s">
        <v>100</v>
      </c>
      <c r="D68" s="19" t="s">
        <v>10</v>
      </c>
      <c r="E68" s="20">
        <v>600</v>
      </c>
      <c r="F68" s="19" t="s">
        <v>11</v>
      </c>
      <c r="G68" s="19">
        <v>1500</v>
      </c>
      <c r="H68" s="19"/>
      <c r="I68" s="19"/>
      <c r="J68" s="23">
        <f t="shared" si="11"/>
        <v>1500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customHeight="1" spans="1:27">
      <c r="A69" s="41" t="s">
        <v>129</v>
      </c>
      <c r="B69" s="41" t="s">
        <v>130</v>
      </c>
      <c r="C69" s="21" t="s">
        <v>100</v>
      </c>
      <c r="D69" s="19" t="s">
        <v>10</v>
      </c>
      <c r="E69" s="20">
        <v>600</v>
      </c>
      <c r="F69" s="19" t="s">
        <v>11</v>
      </c>
      <c r="G69" s="19">
        <v>1500</v>
      </c>
      <c r="H69" s="19"/>
      <c r="I69" s="19"/>
      <c r="J69" s="23">
        <f t="shared" si="11"/>
        <v>1500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customHeight="1" spans="1:27">
      <c r="A70" s="41" t="s">
        <v>131</v>
      </c>
      <c r="B70" s="41" t="s">
        <v>132</v>
      </c>
      <c r="C70" s="21" t="s">
        <v>100</v>
      </c>
      <c r="D70" s="19" t="s">
        <v>22</v>
      </c>
      <c r="E70" s="20">
        <v>600</v>
      </c>
      <c r="F70" s="19" t="s">
        <v>11</v>
      </c>
      <c r="G70" s="19">
        <v>2000</v>
      </c>
      <c r="H70" s="19"/>
      <c r="I70" s="19"/>
      <c r="J70" s="23">
        <f t="shared" si="11"/>
        <v>2000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customHeight="1" spans="1:27">
      <c r="A71" s="41" t="s">
        <v>133</v>
      </c>
      <c r="B71" s="41" t="s">
        <v>134</v>
      </c>
      <c r="C71" s="21" t="s">
        <v>100</v>
      </c>
      <c r="D71" s="19" t="s">
        <v>10</v>
      </c>
      <c r="E71" s="20">
        <v>600</v>
      </c>
      <c r="F71" s="19" t="s">
        <v>11</v>
      </c>
      <c r="G71" s="19">
        <v>1500</v>
      </c>
      <c r="H71" s="19"/>
      <c r="I71" s="19"/>
      <c r="J71" s="23">
        <f t="shared" si="11"/>
        <v>1500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customHeight="1" spans="1:27">
      <c r="A72" s="41" t="s">
        <v>135</v>
      </c>
      <c r="B72" s="41" t="s">
        <v>136</v>
      </c>
      <c r="C72" s="21" t="s">
        <v>100</v>
      </c>
      <c r="D72" s="19" t="s">
        <v>22</v>
      </c>
      <c r="E72" s="20">
        <v>600</v>
      </c>
      <c r="F72" s="19" t="s">
        <v>11</v>
      </c>
      <c r="G72" s="19">
        <v>1500</v>
      </c>
      <c r="H72" s="19"/>
      <c r="I72" s="19"/>
      <c r="J72" s="23">
        <f t="shared" si="11"/>
        <v>1500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customHeight="1" spans="1:27">
      <c r="A73" s="40" t="s">
        <v>137</v>
      </c>
      <c r="B73" s="41" t="s">
        <v>138</v>
      </c>
      <c r="C73" s="21" t="s">
        <v>100</v>
      </c>
      <c r="D73" s="19" t="s">
        <v>22</v>
      </c>
      <c r="E73" s="20">
        <v>800</v>
      </c>
      <c r="F73" s="19" t="s">
        <v>11</v>
      </c>
      <c r="G73" s="19">
        <v>1500</v>
      </c>
      <c r="H73" s="19"/>
      <c r="I73" s="19"/>
      <c r="J73" s="23">
        <f t="shared" si="11"/>
        <v>1500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customHeight="1" spans="1:27">
      <c r="A74" s="41" t="s">
        <v>139</v>
      </c>
      <c r="B74" s="41" t="s">
        <v>140</v>
      </c>
      <c r="C74" s="21" t="s">
        <v>100</v>
      </c>
      <c r="D74" s="19" t="s">
        <v>22</v>
      </c>
      <c r="E74" s="20">
        <v>600</v>
      </c>
      <c r="F74" s="19" t="s">
        <v>11</v>
      </c>
      <c r="G74" s="19">
        <v>1500</v>
      </c>
      <c r="H74" s="19"/>
      <c r="I74" s="19"/>
      <c r="J74" s="23">
        <f t="shared" si="11"/>
        <v>1500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customHeight="1" spans="1:27">
      <c r="A75" s="41" t="s">
        <v>141</v>
      </c>
      <c r="B75" s="41" t="s">
        <v>142</v>
      </c>
      <c r="C75" s="21" t="s">
        <v>100</v>
      </c>
      <c r="D75" s="19" t="s">
        <v>10</v>
      </c>
      <c r="E75" s="20">
        <v>600</v>
      </c>
      <c r="F75" s="19" t="s">
        <v>11</v>
      </c>
      <c r="G75" s="19">
        <v>1500</v>
      </c>
      <c r="H75" s="19"/>
      <c r="I75" s="19"/>
      <c r="J75" s="23">
        <f t="shared" si="11"/>
        <v>1500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customHeight="1" spans="1:27">
      <c r="A76" s="41" t="s">
        <v>143</v>
      </c>
      <c r="B76" s="41" t="s">
        <v>144</v>
      </c>
      <c r="C76" s="21" t="s">
        <v>100</v>
      </c>
      <c r="D76" s="19" t="s">
        <v>10</v>
      </c>
      <c r="E76" s="20">
        <v>600</v>
      </c>
      <c r="F76" s="19" t="s">
        <v>11</v>
      </c>
      <c r="G76" s="19">
        <v>1500</v>
      </c>
      <c r="H76" s="19"/>
      <c r="I76" s="19"/>
      <c r="J76" s="23">
        <f t="shared" si="11"/>
        <v>1500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customHeight="1" spans="1:27">
      <c r="A77" s="40" t="s">
        <v>145</v>
      </c>
      <c r="B77" s="41" t="s">
        <v>146</v>
      </c>
      <c r="C77" s="21" t="s">
        <v>100</v>
      </c>
      <c r="D77" s="19" t="s">
        <v>22</v>
      </c>
      <c r="E77" s="20">
        <v>800</v>
      </c>
      <c r="F77" s="19" t="s">
        <v>11</v>
      </c>
      <c r="G77" s="19">
        <v>1500</v>
      </c>
      <c r="H77" s="19"/>
      <c r="I77" s="19"/>
      <c r="J77" s="23">
        <f t="shared" si="11"/>
        <v>1500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customHeight="1" spans="1:27">
      <c r="A78" s="40" t="s">
        <v>147</v>
      </c>
      <c r="B78" s="41" t="s">
        <v>148</v>
      </c>
      <c r="C78" s="21" t="s">
        <v>100</v>
      </c>
      <c r="D78" s="19" t="s">
        <v>10</v>
      </c>
      <c r="E78" s="20">
        <v>600</v>
      </c>
      <c r="F78" s="19" t="s">
        <v>11</v>
      </c>
      <c r="G78" s="19">
        <v>1500</v>
      </c>
      <c r="H78" s="19"/>
      <c r="I78" s="19"/>
      <c r="J78" s="23">
        <f t="shared" si="11"/>
        <v>1500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customHeight="1" spans="1:27">
      <c r="A79" s="41" t="s">
        <v>149</v>
      </c>
      <c r="B79" s="41" t="s">
        <v>150</v>
      </c>
      <c r="C79" s="21" t="s">
        <v>100</v>
      </c>
      <c r="D79" s="19" t="s">
        <v>120</v>
      </c>
      <c r="E79" s="20">
        <v>1000</v>
      </c>
      <c r="F79" s="19" t="s">
        <v>11</v>
      </c>
      <c r="G79" s="19">
        <v>1500</v>
      </c>
      <c r="H79" s="19"/>
      <c r="I79" s="19"/>
      <c r="J79" s="23">
        <f t="shared" si="11"/>
        <v>1500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customHeight="1" spans="1:27">
      <c r="A80" s="41" t="s">
        <v>151</v>
      </c>
      <c r="B80" s="41" t="s">
        <v>152</v>
      </c>
      <c r="C80" s="21" t="s">
        <v>100</v>
      </c>
      <c r="D80" s="19" t="s">
        <v>10</v>
      </c>
      <c r="E80" s="20">
        <v>600</v>
      </c>
      <c r="F80" s="19" t="s">
        <v>11</v>
      </c>
      <c r="G80" s="19">
        <v>1500</v>
      </c>
      <c r="H80" s="19"/>
      <c r="I80" s="19"/>
      <c r="J80" s="23">
        <f t="shared" si="11"/>
        <v>1500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customHeight="1" spans="1:27">
      <c r="A81" s="41" t="s">
        <v>153</v>
      </c>
      <c r="B81" s="41" t="s">
        <v>154</v>
      </c>
      <c r="C81" s="21" t="s">
        <v>100</v>
      </c>
      <c r="D81" s="19" t="s">
        <v>120</v>
      </c>
      <c r="E81" s="20">
        <v>1000</v>
      </c>
      <c r="F81" s="19" t="s">
        <v>11</v>
      </c>
      <c r="G81" s="19">
        <v>1500</v>
      </c>
      <c r="H81" s="19"/>
      <c r="I81" s="19"/>
      <c r="J81" s="23">
        <f t="shared" si="11"/>
        <v>1500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customHeight="1" spans="1:27">
      <c r="A82" s="40" t="s">
        <v>155</v>
      </c>
      <c r="B82" s="41" t="s">
        <v>156</v>
      </c>
      <c r="C82" s="21" t="s">
        <v>100</v>
      </c>
      <c r="D82" s="19" t="s">
        <v>10</v>
      </c>
      <c r="E82" s="20">
        <v>600</v>
      </c>
      <c r="F82" s="19" t="s">
        <v>11</v>
      </c>
      <c r="G82" s="19">
        <v>1500</v>
      </c>
      <c r="H82" s="19"/>
      <c r="I82" s="19"/>
      <c r="J82" s="23">
        <f t="shared" si="11"/>
        <v>1500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customHeight="1" spans="1:27">
      <c r="A83" s="41" t="s">
        <v>157</v>
      </c>
      <c r="B83" s="41" t="s">
        <v>158</v>
      </c>
      <c r="C83" s="21" t="s">
        <v>100</v>
      </c>
      <c r="D83" s="19" t="s">
        <v>10</v>
      </c>
      <c r="E83" s="20">
        <v>600</v>
      </c>
      <c r="F83" s="19" t="s">
        <v>11</v>
      </c>
      <c r="G83" s="19">
        <v>1500</v>
      </c>
      <c r="H83" s="19"/>
      <c r="I83" s="19"/>
      <c r="J83" s="23">
        <f t="shared" si="11"/>
        <v>1500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customHeight="1" spans="1:27">
      <c r="A84" s="41" t="s">
        <v>159</v>
      </c>
      <c r="B84" s="41" t="s">
        <v>160</v>
      </c>
      <c r="C84" s="21" t="s">
        <v>100</v>
      </c>
      <c r="D84" s="19" t="s">
        <v>10</v>
      </c>
      <c r="E84" s="20">
        <v>600</v>
      </c>
      <c r="F84" s="19" t="s">
        <v>11</v>
      </c>
      <c r="G84" s="19">
        <v>1500</v>
      </c>
      <c r="H84" s="19"/>
      <c r="I84" s="19"/>
      <c r="J84" s="23">
        <f t="shared" si="11"/>
        <v>1500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customHeight="1" spans="1:27">
      <c r="A85" s="41" t="s">
        <v>161</v>
      </c>
      <c r="B85" s="41" t="s">
        <v>162</v>
      </c>
      <c r="C85" s="21" t="s">
        <v>100</v>
      </c>
      <c r="D85" s="19" t="s">
        <v>22</v>
      </c>
      <c r="E85" s="20">
        <v>800</v>
      </c>
      <c r="F85" s="19" t="s">
        <v>11</v>
      </c>
      <c r="G85" s="19">
        <v>1500</v>
      </c>
      <c r="H85" s="19"/>
      <c r="I85" s="19"/>
      <c r="J85" s="23">
        <f t="shared" si="11"/>
        <v>1500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customHeight="1" spans="1:27">
      <c r="A86" s="41" t="s">
        <v>163</v>
      </c>
      <c r="B86" s="41" t="s">
        <v>164</v>
      </c>
      <c r="C86" s="21" t="s">
        <v>100</v>
      </c>
      <c r="D86" s="19" t="s">
        <v>10</v>
      </c>
      <c r="E86" s="20">
        <v>600</v>
      </c>
      <c r="F86" s="19" t="s">
        <v>11</v>
      </c>
      <c r="G86" s="19">
        <v>1500</v>
      </c>
      <c r="H86" s="19"/>
      <c r="I86" s="19"/>
      <c r="J86" s="23">
        <f t="shared" si="11"/>
        <v>1500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customHeight="1" spans="1:27">
      <c r="A87" s="41" t="s">
        <v>165</v>
      </c>
      <c r="B87" s="41" t="s">
        <v>166</v>
      </c>
      <c r="C87" s="22" t="s">
        <v>167</v>
      </c>
      <c r="D87" s="19" t="s">
        <v>10</v>
      </c>
      <c r="E87" s="20">
        <v>600</v>
      </c>
      <c r="F87" s="19" t="s">
        <v>11</v>
      </c>
      <c r="G87" s="19">
        <v>1300</v>
      </c>
      <c r="H87" s="19"/>
      <c r="I87" s="19"/>
      <c r="J87" s="23">
        <f t="shared" si="11"/>
        <v>1300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customHeight="1" spans="1:27">
      <c r="A88" s="41" t="s">
        <v>168</v>
      </c>
      <c r="B88" s="41" t="s">
        <v>169</v>
      </c>
      <c r="C88" s="22" t="s">
        <v>167</v>
      </c>
      <c r="D88" s="19" t="s">
        <v>120</v>
      </c>
      <c r="E88" s="20">
        <v>800</v>
      </c>
      <c r="F88" s="19" t="s">
        <v>11</v>
      </c>
      <c r="G88" s="19">
        <v>1300</v>
      </c>
      <c r="H88" s="19"/>
      <c r="I88" s="19"/>
      <c r="J88" s="23">
        <f t="shared" si="11"/>
        <v>1300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customHeight="1" spans="1:27">
      <c r="A89" s="41" t="s">
        <v>170</v>
      </c>
      <c r="B89" s="41" t="s">
        <v>171</v>
      </c>
      <c r="C89" s="22" t="s">
        <v>167</v>
      </c>
      <c r="D89" s="19" t="s">
        <v>10</v>
      </c>
      <c r="E89" s="20">
        <v>600</v>
      </c>
      <c r="F89" s="19" t="s">
        <v>11</v>
      </c>
      <c r="G89" s="19">
        <v>2200</v>
      </c>
      <c r="H89" s="19"/>
      <c r="I89" s="46"/>
      <c r="J89" s="23">
        <f t="shared" si="11"/>
        <v>2200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customHeight="1" spans="1:27">
      <c r="A90" s="41" t="s">
        <v>172</v>
      </c>
      <c r="B90" s="41" t="s">
        <v>173</v>
      </c>
      <c r="C90" s="22" t="s">
        <v>167</v>
      </c>
      <c r="D90" s="19" t="s">
        <v>22</v>
      </c>
      <c r="E90" s="20">
        <v>800</v>
      </c>
      <c r="F90" s="19" t="s">
        <v>11</v>
      </c>
      <c r="G90" s="19">
        <v>1300</v>
      </c>
      <c r="H90" s="19"/>
      <c r="I90" s="46"/>
      <c r="J90" s="23">
        <f t="shared" si="11"/>
        <v>1300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customHeight="1" spans="1:27">
      <c r="A91" s="42" t="s">
        <v>174</v>
      </c>
      <c r="B91" s="41" t="s">
        <v>175</v>
      </c>
      <c r="C91" s="22" t="s">
        <v>167</v>
      </c>
      <c r="D91" s="19" t="s">
        <v>10</v>
      </c>
      <c r="E91" s="20">
        <v>600</v>
      </c>
      <c r="F91" s="19" t="s">
        <v>11</v>
      </c>
      <c r="G91" s="19">
        <v>1000</v>
      </c>
      <c r="H91" s="19"/>
      <c r="I91" s="19"/>
      <c r="J91" s="23">
        <f t="shared" si="11"/>
        <v>1000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="34" customFormat="1" customHeight="1" spans="1:27">
      <c r="A92" s="42" t="s">
        <v>176</v>
      </c>
      <c r="B92" s="42" t="s">
        <v>177</v>
      </c>
      <c r="C92" s="22" t="s">
        <v>167</v>
      </c>
      <c r="D92" s="43" t="s">
        <v>10</v>
      </c>
      <c r="E92" s="44">
        <v>600</v>
      </c>
      <c r="F92" s="43" t="s">
        <v>11</v>
      </c>
      <c r="G92" s="43">
        <v>2200</v>
      </c>
      <c r="H92" s="43"/>
      <c r="I92" s="43"/>
      <c r="J92" s="47">
        <f t="shared" si="11"/>
        <v>2200</v>
      </c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</row>
    <row r="93" customHeight="1" spans="1:27">
      <c r="A93" s="45" t="s">
        <v>178</v>
      </c>
      <c r="B93" s="41" t="s">
        <v>179</v>
      </c>
      <c r="C93" s="22" t="s">
        <v>167</v>
      </c>
      <c r="D93" s="19" t="s">
        <v>22</v>
      </c>
      <c r="E93" s="20">
        <v>800</v>
      </c>
      <c r="F93" s="19" t="s">
        <v>11</v>
      </c>
      <c r="G93" s="19">
        <v>1500</v>
      </c>
      <c r="H93" s="19"/>
      <c r="I93" s="19"/>
      <c r="J93" s="23">
        <f t="shared" si="11"/>
        <v>1500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customHeight="1" spans="1:27">
      <c r="A94" s="41" t="s">
        <v>180</v>
      </c>
      <c r="B94" s="41" t="s">
        <v>181</v>
      </c>
      <c r="C94" s="22" t="s">
        <v>167</v>
      </c>
      <c r="D94" s="19" t="s">
        <v>10</v>
      </c>
      <c r="E94" s="20">
        <v>600</v>
      </c>
      <c r="F94" s="19" t="s">
        <v>11</v>
      </c>
      <c r="G94" s="19">
        <v>1000</v>
      </c>
      <c r="H94" s="19"/>
      <c r="I94" s="19"/>
      <c r="J94" s="23">
        <f t="shared" si="11"/>
        <v>1000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customHeight="1" spans="1:27">
      <c r="A95" s="41" t="s">
        <v>182</v>
      </c>
      <c r="B95" s="41" t="s">
        <v>183</v>
      </c>
      <c r="C95" s="22" t="s">
        <v>167</v>
      </c>
      <c r="D95" s="19" t="s">
        <v>10</v>
      </c>
      <c r="E95" s="20">
        <v>600</v>
      </c>
      <c r="F95" s="19" t="s">
        <v>11</v>
      </c>
      <c r="G95" s="19">
        <v>1500</v>
      </c>
      <c r="H95" s="19"/>
      <c r="I95" s="19"/>
      <c r="J95" s="23">
        <f t="shared" si="11"/>
        <v>1500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customHeight="1" spans="1:27">
      <c r="A96" s="45" t="s">
        <v>184</v>
      </c>
      <c r="B96" s="41" t="s">
        <v>185</v>
      </c>
      <c r="C96" s="22" t="s">
        <v>167</v>
      </c>
      <c r="D96" s="19" t="s">
        <v>10</v>
      </c>
      <c r="E96" s="20">
        <v>600</v>
      </c>
      <c r="F96" s="19" t="s">
        <v>11</v>
      </c>
      <c r="G96" s="19">
        <v>1300</v>
      </c>
      <c r="H96" s="19"/>
      <c r="I96" s="19"/>
      <c r="J96" s="23">
        <f t="shared" si="11"/>
        <v>1300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customHeight="1" spans="1:27">
      <c r="A97" s="41" t="s">
        <v>186</v>
      </c>
      <c r="B97" s="41" t="s">
        <v>187</v>
      </c>
      <c r="C97" s="22" t="s">
        <v>167</v>
      </c>
      <c r="D97" s="19" t="s">
        <v>10</v>
      </c>
      <c r="E97" s="20">
        <v>600</v>
      </c>
      <c r="F97" s="19" t="s">
        <v>11</v>
      </c>
      <c r="G97" s="19">
        <v>1500</v>
      </c>
      <c r="H97" s="19"/>
      <c r="I97" s="19"/>
      <c r="J97" s="23">
        <f t="shared" si="11"/>
        <v>1500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customHeight="1" spans="1:27">
      <c r="A98" s="41" t="s">
        <v>188</v>
      </c>
      <c r="B98" s="41" t="s">
        <v>189</v>
      </c>
      <c r="C98" s="22" t="s">
        <v>167</v>
      </c>
      <c r="D98" s="19" t="s">
        <v>10</v>
      </c>
      <c r="E98" s="20">
        <v>600</v>
      </c>
      <c r="F98" s="19" t="s">
        <v>11</v>
      </c>
      <c r="G98" s="19">
        <v>1300</v>
      </c>
      <c r="H98" s="19"/>
      <c r="I98" s="19"/>
      <c r="J98" s="23">
        <f t="shared" si="11"/>
        <v>1300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customHeight="1" spans="1:27">
      <c r="A99" s="41" t="s">
        <v>190</v>
      </c>
      <c r="B99" s="41" t="s">
        <v>191</v>
      </c>
      <c r="C99" s="22" t="s">
        <v>167</v>
      </c>
      <c r="D99" s="19" t="s">
        <v>10</v>
      </c>
      <c r="E99" s="20">
        <v>600</v>
      </c>
      <c r="F99" s="19" t="s">
        <v>11</v>
      </c>
      <c r="G99" s="19">
        <v>1000</v>
      </c>
      <c r="H99" s="19"/>
      <c r="I99" s="19"/>
      <c r="J99" s="23">
        <f t="shared" si="11"/>
        <v>1000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customHeight="1" spans="1:27">
      <c r="A100" s="41" t="s">
        <v>192</v>
      </c>
      <c r="B100" s="41" t="s">
        <v>193</v>
      </c>
      <c r="C100" s="22" t="s">
        <v>167</v>
      </c>
      <c r="D100" s="19" t="s">
        <v>10</v>
      </c>
      <c r="E100" s="20">
        <v>600</v>
      </c>
      <c r="F100" s="19" t="s">
        <v>11</v>
      </c>
      <c r="G100" s="19">
        <v>2000</v>
      </c>
      <c r="H100" s="19"/>
      <c r="I100" s="19"/>
      <c r="J100" s="23">
        <f t="shared" si="11"/>
        <v>2000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customHeight="1" spans="1:27">
      <c r="A101" s="41" t="s">
        <v>194</v>
      </c>
      <c r="B101" s="41" t="s">
        <v>195</v>
      </c>
      <c r="C101" s="22" t="s">
        <v>196</v>
      </c>
      <c r="D101" s="19" t="s">
        <v>120</v>
      </c>
      <c r="E101" s="20">
        <v>800</v>
      </c>
      <c r="F101" s="19" t="s">
        <v>11</v>
      </c>
      <c r="G101" s="19">
        <v>1300</v>
      </c>
      <c r="H101" s="19"/>
      <c r="I101" s="19"/>
      <c r="J101" s="23">
        <f t="shared" si="11"/>
        <v>1300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customHeight="1" spans="1:27">
      <c r="A102" s="41" t="s">
        <v>197</v>
      </c>
      <c r="B102" s="41" t="s">
        <v>198</v>
      </c>
      <c r="C102" s="22" t="s">
        <v>196</v>
      </c>
      <c r="D102" s="19" t="s">
        <v>22</v>
      </c>
      <c r="E102" s="20">
        <v>800</v>
      </c>
      <c r="F102" s="19" t="s">
        <v>11</v>
      </c>
      <c r="G102" s="19">
        <v>1500</v>
      </c>
      <c r="H102" s="19"/>
      <c r="I102" s="19"/>
      <c r="J102" s="23">
        <f t="shared" si="11"/>
        <v>1500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customHeight="1" spans="1:27">
      <c r="A103" s="41" t="s">
        <v>199</v>
      </c>
      <c r="B103" s="41" t="s">
        <v>200</v>
      </c>
      <c r="C103" s="22" t="s">
        <v>196</v>
      </c>
      <c r="D103" s="19" t="s">
        <v>120</v>
      </c>
      <c r="E103" s="20">
        <v>1200</v>
      </c>
      <c r="F103" s="19" t="s">
        <v>11</v>
      </c>
      <c r="G103" s="19">
        <v>2200</v>
      </c>
      <c r="H103" s="19"/>
      <c r="I103" s="19"/>
      <c r="J103" s="23">
        <f t="shared" si="11"/>
        <v>2200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customHeight="1" spans="1:27">
      <c r="A104" s="41" t="s">
        <v>201</v>
      </c>
      <c r="B104" s="41" t="s">
        <v>202</v>
      </c>
      <c r="C104" s="22" t="s">
        <v>196</v>
      </c>
      <c r="D104" s="19" t="s">
        <v>117</v>
      </c>
      <c r="E104" s="20">
        <v>1200</v>
      </c>
      <c r="F104" s="19" t="s">
        <v>11</v>
      </c>
      <c r="G104" s="19">
        <v>2000</v>
      </c>
      <c r="H104" s="19"/>
      <c r="I104" s="19"/>
      <c r="J104" s="23">
        <f t="shared" si="11"/>
        <v>2000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customHeight="1" spans="1:27">
      <c r="A105" s="41" t="s">
        <v>203</v>
      </c>
      <c r="B105" s="41" t="s">
        <v>204</v>
      </c>
      <c r="C105" s="22" t="s">
        <v>196</v>
      </c>
      <c r="D105" s="19" t="s">
        <v>10</v>
      </c>
      <c r="E105" s="20">
        <v>600</v>
      </c>
      <c r="F105" s="19" t="s">
        <v>11</v>
      </c>
      <c r="G105" s="19">
        <v>1300</v>
      </c>
      <c r="H105" s="19"/>
      <c r="I105" s="19"/>
      <c r="J105" s="23">
        <f t="shared" si="11"/>
        <v>1300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customHeight="1" spans="1:27">
      <c r="A106" s="41" t="s">
        <v>205</v>
      </c>
      <c r="B106" s="41" t="s">
        <v>206</v>
      </c>
      <c r="C106" s="22" t="s">
        <v>196</v>
      </c>
      <c r="D106" s="19" t="s">
        <v>207</v>
      </c>
      <c r="E106" s="20">
        <v>1600</v>
      </c>
      <c r="F106" s="19" t="s">
        <v>11</v>
      </c>
      <c r="G106" s="19">
        <v>1000</v>
      </c>
      <c r="H106" s="19"/>
      <c r="I106" s="19"/>
      <c r="J106" s="23">
        <f t="shared" si="11"/>
        <v>1000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customHeight="1" spans="1:27">
      <c r="A107" s="41" t="s">
        <v>208</v>
      </c>
      <c r="B107" s="41" t="s">
        <v>209</v>
      </c>
      <c r="C107" s="22" t="s">
        <v>196</v>
      </c>
      <c r="D107" s="19" t="s">
        <v>22</v>
      </c>
      <c r="E107" s="20">
        <v>800</v>
      </c>
      <c r="F107" s="19" t="s">
        <v>11</v>
      </c>
      <c r="G107" s="19">
        <v>2000</v>
      </c>
      <c r="H107" s="19"/>
      <c r="I107" s="19"/>
      <c r="J107" s="23">
        <f t="shared" si="11"/>
        <v>2000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customHeight="1" spans="1:27">
      <c r="A108" s="41" t="s">
        <v>210</v>
      </c>
      <c r="B108" s="41" t="s">
        <v>30</v>
      </c>
      <c r="C108" s="22" t="s">
        <v>196</v>
      </c>
      <c r="D108" s="19" t="s">
        <v>22</v>
      </c>
      <c r="E108" s="20">
        <v>800</v>
      </c>
      <c r="F108" s="19" t="s">
        <v>11</v>
      </c>
      <c r="G108" s="19">
        <v>1000</v>
      </c>
      <c r="H108" s="19"/>
      <c r="I108" s="19"/>
      <c r="J108" s="23">
        <f t="shared" si="11"/>
        <v>1000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customHeight="1" spans="1:27">
      <c r="A109" s="41" t="s">
        <v>211</v>
      </c>
      <c r="B109" s="41" t="s">
        <v>212</v>
      </c>
      <c r="C109" s="22" t="s">
        <v>196</v>
      </c>
      <c r="D109" s="19" t="s">
        <v>10</v>
      </c>
      <c r="E109" s="20">
        <v>600</v>
      </c>
      <c r="F109" s="19" t="s">
        <v>11</v>
      </c>
      <c r="G109" s="19">
        <v>1500</v>
      </c>
      <c r="H109" s="19"/>
      <c r="I109" s="19"/>
      <c r="J109" s="23">
        <f t="shared" si="11"/>
        <v>1500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customHeight="1" spans="1:27">
      <c r="A110" s="41" t="s">
        <v>213</v>
      </c>
      <c r="B110" s="41" t="s">
        <v>214</v>
      </c>
      <c r="C110" s="22" t="s">
        <v>196</v>
      </c>
      <c r="D110" s="19" t="s">
        <v>10</v>
      </c>
      <c r="E110" s="20">
        <v>600</v>
      </c>
      <c r="F110" s="19" t="s">
        <v>11</v>
      </c>
      <c r="G110" s="19">
        <v>1100</v>
      </c>
      <c r="H110" s="19"/>
      <c r="I110" s="19"/>
      <c r="J110" s="23">
        <f t="shared" si="11"/>
        <v>1100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customHeight="1" spans="1:27">
      <c r="A111" s="41" t="s">
        <v>215</v>
      </c>
      <c r="B111" s="41" t="s">
        <v>216</v>
      </c>
      <c r="C111" s="22" t="s">
        <v>196</v>
      </c>
      <c r="D111" s="19" t="s">
        <v>207</v>
      </c>
      <c r="E111" s="20">
        <v>1600</v>
      </c>
      <c r="F111" s="19" t="s">
        <v>11</v>
      </c>
      <c r="G111" s="19">
        <v>1300</v>
      </c>
      <c r="H111" s="19"/>
      <c r="I111" s="19"/>
      <c r="J111" s="23">
        <f t="shared" si="11"/>
        <v>1300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customHeight="1" spans="1:27">
      <c r="A112" s="41" t="s">
        <v>217</v>
      </c>
      <c r="B112" s="41" t="s">
        <v>218</v>
      </c>
      <c r="C112" s="22" t="s">
        <v>196</v>
      </c>
      <c r="D112" s="19" t="s">
        <v>10</v>
      </c>
      <c r="E112" s="20">
        <v>600</v>
      </c>
      <c r="F112" s="19" t="s">
        <v>11</v>
      </c>
      <c r="G112" s="19">
        <v>1500</v>
      </c>
      <c r="H112" s="19"/>
      <c r="I112" s="19"/>
      <c r="J112" s="23">
        <f t="shared" si="11"/>
        <v>1500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customHeight="1" spans="1:27">
      <c r="A113" s="41" t="s">
        <v>219</v>
      </c>
      <c r="B113" s="41" t="s">
        <v>220</v>
      </c>
      <c r="C113" s="22" t="s">
        <v>196</v>
      </c>
      <c r="D113" s="19" t="s">
        <v>120</v>
      </c>
      <c r="E113" s="20">
        <v>1000</v>
      </c>
      <c r="F113" s="19" t="s">
        <v>11</v>
      </c>
      <c r="G113" s="19">
        <v>1500</v>
      </c>
      <c r="H113" s="19"/>
      <c r="I113" s="19"/>
      <c r="J113" s="23">
        <f t="shared" si="11"/>
        <v>1500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customHeight="1" spans="1:27">
      <c r="A114" s="41" t="s">
        <v>221</v>
      </c>
      <c r="B114" s="41" t="s">
        <v>222</v>
      </c>
      <c r="C114" s="22" t="s">
        <v>196</v>
      </c>
      <c r="D114" s="19" t="s">
        <v>10</v>
      </c>
      <c r="E114" s="20">
        <v>600</v>
      </c>
      <c r="F114" s="19" t="s">
        <v>11</v>
      </c>
      <c r="G114" s="19">
        <v>1500</v>
      </c>
      <c r="H114" s="19"/>
      <c r="I114" s="19"/>
      <c r="J114" s="23">
        <f t="shared" si="11"/>
        <v>1500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customHeight="1" spans="1:27">
      <c r="A115" s="41" t="s">
        <v>223</v>
      </c>
      <c r="B115" s="41" t="s">
        <v>224</v>
      </c>
      <c r="C115" s="22" t="s">
        <v>196</v>
      </c>
      <c r="D115" s="28" t="s">
        <v>10</v>
      </c>
      <c r="E115" s="29">
        <v>600</v>
      </c>
      <c r="F115" s="19" t="s">
        <v>11</v>
      </c>
      <c r="G115" s="28">
        <v>1300</v>
      </c>
      <c r="H115" s="19"/>
      <c r="I115" s="19"/>
      <c r="J115" s="23">
        <f t="shared" si="11"/>
        <v>1300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customHeight="1" spans="1:27">
      <c r="A116" s="41" t="s">
        <v>225</v>
      </c>
      <c r="B116" s="41" t="s">
        <v>226</v>
      </c>
      <c r="C116" s="22" t="s">
        <v>196</v>
      </c>
      <c r="D116" s="28" t="s">
        <v>10</v>
      </c>
      <c r="E116" s="29">
        <v>600</v>
      </c>
      <c r="F116" s="19" t="s">
        <v>11</v>
      </c>
      <c r="G116" s="28">
        <v>1500</v>
      </c>
      <c r="H116" s="19"/>
      <c r="I116" s="19"/>
      <c r="J116" s="23">
        <f t="shared" si="11"/>
        <v>1500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customHeight="1" spans="1:27">
      <c r="A117" s="41" t="s">
        <v>227</v>
      </c>
      <c r="B117" s="41" t="s">
        <v>228</v>
      </c>
      <c r="C117" s="22" t="s">
        <v>196</v>
      </c>
      <c r="D117" s="28" t="s">
        <v>10</v>
      </c>
      <c r="E117" s="29">
        <v>600</v>
      </c>
      <c r="F117" s="19" t="s">
        <v>11</v>
      </c>
      <c r="G117" s="28">
        <v>1500</v>
      </c>
      <c r="H117" s="19"/>
      <c r="I117" s="19"/>
      <c r="J117" s="23">
        <f t="shared" si="11"/>
        <v>1500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customHeight="1" spans="1:27">
      <c r="A118" s="41" t="s">
        <v>229</v>
      </c>
      <c r="B118" s="41" t="s">
        <v>230</v>
      </c>
      <c r="C118" s="22" t="s">
        <v>196</v>
      </c>
      <c r="D118" s="28" t="s">
        <v>10</v>
      </c>
      <c r="E118" s="29">
        <v>600</v>
      </c>
      <c r="F118" s="19" t="s">
        <v>11</v>
      </c>
      <c r="G118" s="28">
        <v>1500</v>
      </c>
      <c r="H118" s="19"/>
      <c r="I118" s="19"/>
      <c r="J118" s="23">
        <f t="shared" si="11"/>
        <v>1500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customHeight="1" spans="1:10">
      <c r="A119" s="42" t="s">
        <v>231</v>
      </c>
      <c r="B119" s="41" t="s">
        <v>232</v>
      </c>
      <c r="C119" s="22" t="s">
        <v>196</v>
      </c>
      <c r="D119" s="19" t="s">
        <v>22</v>
      </c>
      <c r="E119" s="20">
        <v>1600</v>
      </c>
      <c r="F119" s="19" t="s">
        <v>11</v>
      </c>
      <c r="G119" s="19">
        <v>1300</v>
      </c>
      <c r="H119" s="19"/>
      <c r="I119" s="19"/>
      <c r="J119" s="23">
        <f t="shared" si="11"/>
        <v>1300</v>
      </c>
    </row>
    <row r="120" customHeight="1" spans="1:10">
      <c r="A120" s="41" t="s">
        <v>233</v>
      </c>
      <c r="B120" s="41" t="s">
        <v>234</v>
      </c>
      <c r="C120" s="22" t="s">
        <v>196</v>
      </c>
      <c r="D120" s="19" t="s">
        <v>117</v>
      </c>
      <c r="E120" s="20">
        <v>1200</v>
      </c>
      <c r="F120" s="19" t="s">
        <v>11</v>
      </c>
      <c r="G120" s="19">
        <v>1600</v>
      </c>
      <c r="H120" s="19"/>
      <c r="I120" s="19"/>
      <c r="J120" s="23">
        <f t="shared" si="11"/>
        <v>1600</v>
      </c>
    </row>
    <row r="121" customHeight="1" spans="1:10">
      <c r="A121" s="40" t="s">
        <v>235</v>
      </c>
      <c r="B121" s="41" t="s">
        <v>236</v>
      </c>
      <c r="C121" s="22" t="s">
        <v>196</v>
      </c>
      <c r="D121" s="19" t="s">
        <v>10</v>
      </c>
      <c r="E121" s="20">
        <v>600</v>
      </c>
      <c r="F121" s="19" t="s">
        <v>11</v>
      </c>
      <c r="G121" s="28">
        <v>1500</v>
      </c>
      <c r="H121" s="19"/>
      <c r="I121" s="19"/>
      <c r="J121" s="23">
        <f t="shared" si="11"/>
        <v>1500</v>
      </c>
    </row>
    <row r="122" customHeight="1" spans="1:10">
      <c r="A122" s="40" t="s">
        <v>237</v>
      </c>
      <c r="B122" s="41" t="s">
        <v>238</v>
      </c>
      <c r="C122" s="22" t="s">
        <v>196</v>
      </c>
      <c r="D122" s="19" t="s">
        <v>10</v>
      </c>
      <c r="E122" s="29">
        <v>600</v>
      </c>
      <c r="F122" s="19" t="s">
        <v>11</v>
      </c>
      <c r="G122" s="19">
        <v>1800</v>
      </c>
      <c r="H122" s="19"/>
      <c r="I122" s="19"/>
      <c r="J122" s="23">
        <f t="shared" si="11"/>
        <v>1800</v>
      </c>
    </row>
    <row r="123" customHeight="1" spans="1:10">
      <c r="A123" s="41" t="s">
        <v>239</v>
      </c>
      <c r="B123" s="41" t="s">
        <v>240</v>
      </c>
      <c r="C123" s="22" t="s">
        <v>196</v>
      </c>
      <c r="D123" s="19" t="s">
        <v>10</v>
      </c>
      <c r="E123" s="29">
        <v>600</v>
      </c>
      <c r="F123" s="19" t="s">
        <v>11</v>
      </c>
      <c r="G123" s="19">
        <v>1300</v>
      </c>
      <c r="H123" s="19"/>
      <c r="I123" s="19"/>
      <c r="J123" s="23">
        <f t="shared" si="11"/>
        <v>1300</v>
      </c>
    </row>
    <row r="124" customHeight="1" spans="1:10">
      <c r="A124" s="41" t="s">
        <v>241</v>
      </c>
      <c r="B124" s="41" t="s">
        <v>242</v>
      </c>
      <c r="C124" s="22" t="s">
        <v>196</v>
      </c>
      <c r="D124" s="19" t="s">
        <v>22</v>
      </c>
      <c r="E124" s="20">
        <v>800</v>
      </c>
      <c r="F124" s="19" t="s">
        <v>11</v>
      </c>
      <c r="G124" s="19">
        <v>2000</v>
      </c>
      <c r="H124" s="19"/>
      <c r="I124" s="19"/>
      <c r="J124" s="23">
        <f t="shared" si="11"/>
        <v>2000</v>
      </c>
    </row>
    <row r="125" customHeight="1" spans="1:10">
      <c r="A125" s="40" t="s">
        <v>243</v>
      </c>
      <c r="B125" s="41" t="s">
        <v>244</v>
      </c>
      <c r="C125" s="22" t="s">
        <v>196</v>
      </c>
      <c r="D125" s="19" t="s">
        <v>22</v>
      </c>
      <c r="E125" s="20">
        <v>800</v>
      </c>
      <c r="F125" s="19" t="s">
        <v>11</v>
      </c>
      <c r="G125" s="28">
        <v>1300</v>
      </c>
      <c r="H125" s="19"/>
      <c r="I125" s="19"/>
      <c r="J125" s="23">
        <f t="shared" si="11"/>
        <v>1300</v>
      </c>
    </row>
    <row r="126" customHeight="1" spans="1:10">
      <c r="A126" s="40" t="s">
        <v>245</v>
      </c>
      <c r="B126" s="41" t="s">
        <v>246</v>
      </c>
      <c r="C126" s="22" t="s">
        <v>196</v>
      </c>
      <c r="D126" s="19" t="s">
        <v>10</v>
      </c>
      <c r="E126" s="20">
        <v>600</v>
      </c>
      <c r="F126" s="19" t="s">
        <v>11</v>
      </c>
      <c r="G126" s="19">
        <v>1300</v>
      </c>
      <c r="H126" s="19"/>
      <c r="I126" s="19"/>
      <c r="J126" s="23">
        <f t="shared" si="11"/>
        <v>1300</v>
      </c>
    </row>
    <row r="127" customHeight="1" spans="1:10">
      <c r="A127" s="41" t="s">
        <v>247</v>
      </c>
      <c r="B127" s="41" t="s">
        <v>248</v>
      </c>
      <c r="C127" s="22" t="s">
        <v>196</v>
      </c>
      <c r="D127" s="19" t="s">
        <v>10</v>
      </c>
      <c r="E127" s="20">
        <v>600</v>
      </c>
      <c r="F127" s="19" t="s">
        <v>11</v>
      </c>
      <c r="G127" s="19">
        <v>1800</v>
      </c>
      <c r="H127" s="19"/>
      <c r="I127" s="19"/>
      <c r="J127" s="23">
        <f t="shared" si="11"/>
        <v>1800</v>
      </c>
    </row>
    <row r="128" customHeight="1" spans="1:10">
      <c r="A128" s="41" t="s">
        <v>249</v>
      </c>
      <c r="B128" s="41" t="s">
        <v>169</v>
      </c>
      <c r="C128" s="22" t="s">
        <v>196</v>
      </c>
      <c r="D128" s="19" t="s">
        <v>250</v>
      </c>
      <c r="E128" s="29">
        <v>3500</v>
      </c>
      <c r="F128" s="19" t="s">
        <v>11</v>
      </c>
      <c r="G128" s="19">
        <v>1300</v>
      </c>
      <c r="H128" s="19"/>
      <c r="I128" s="19"/>
      <c r="J128" s="23">
        <f t="shared" si="11"/>
        <v>1300</v>
      </c>
    </row>
    <row r="129" customHeight="1" spans="1:10">
      <c r="A129" s="41" t="s">
        <v>251</v>
      </c>
      <c r="B129" s="41" t="s">
        <v>169</v>
      </c>
      <c r="C129" s="22" t="s">
        <v>196</v>
      </c>
      <c r="D129" s="19" t="s">
        <v>252</v>
      </c>
      <c r="E129" s="29">
        <v>3501</v>
      </c>
      <c r="F129" s="19" t="s">
        <v>11</v>
      </c>
      <c r="G129" s="19">
        <v>1500</v>
      </c>
      <c r="H129" s="19"/>
      <c r="I129" s="19"/>
      <c r="J129" s="23">
        <f t="shared" ref="J129" si="14">G129+H129-I129</f>
        <v>1500</v>
      </c>
    </row>
    <row r="130" customHeight="1" spans="1:10">
      <c r="A130" s="41" t="s">
        <v>253</v>
      </c>
      <c r="B130" s="41" t="s">
        <v>254</v>
      </c>
      <c r="C130" s="22" t="s">
        <v>196</v>
      </c>
      <c r="D130" s="19" t="s">
        <v>10</v>
      </c>
      <c r="E130" s="20">
        <v>600</v>
      </c>
      <c r="F130" s="19" t="s">
        <v>11</v>
      </c>
      <c r="G130" s="19">
        <v>1500</v>
      </c>
      <c r="H130" s="19"/>
      <c r="I130" s="19"/>
      <c r="J130" s="23">
        <f t="shared" si="11"/>
        <v>1500</v>
      </c>
    </row>
    <row r="131" customHeight="1" spans="1:10">
      <c r="A131" s="41" t="s">
        <v>255</v>
      </c>
      <c r="B131" s="41" t="s">
        <v>256</v>
      </c>
      <c r="C131" s="22" t="s">
        <v>196</v>
      </c>
      <c r="D131" s="19" t="s">
        <v>10</v>
      </c>
      <c r="E131" s="20">
        <v>600</v>
      </c>
      <c r="F131" s="19" t="s">
        <v>11</v>
      </c>
      <c r="G131" s="19">
        <v>1300</v>
      </c>
      <c r="H131" s="19"/>
      <c r="I131" s="19"/>
      <c r="J131" s="23">
        <f t="shared" si="11"/>
        <v>1300</v>
      </c>
    </row>
    <row r="132" customHeight="1" spans="1:10">
      <c r="A132" s="41" t="s">
        <v>257</v>
      </c>
      <c r="B132" s="41" t="s">
        <v>258</v>
      </c>
      <c r="C132" s="22" t="s">
        <v>196</v>
      </c>
      <c r="D132" s="19" t="s">
        <v>10</v>
      </c>
      <c r="E132" s="29">
        <v>600</v>
      </c>
      <c r="F132" s="19" t="s">
        <v>11</v>
      </c>
      <c r="G132" s="19">
        <v>1300</v>
      </c>
      <c r="H132" s="19"/>
      <c r="I132" s="19"/>
      <c r="J132" s="23">
        <f t="shared" si="11"/>
        <v>1300</v>
      </c>
    </row>
    <row r="133" customHeight="1" spans="1:10">
      <c r="A133" s="41" t="s">
        <v>259</v>
      </c>
      <c r="B133" s="41" t="s">
        <v>260</v>
      </c>
      <c r="C133" s="22" t="s">
        <v>196</v>
      </c>
      <c r="D133" s="19" t="s">
        <v>10</v>
      </c>
      <c r="E133" s="29">
        <v>600</v>
      </c>
      <c r="F133" s="19" t="s">
        <v>11</v>
      </c>
      <c r="G133" s="19">
        <v>2200</v>
      </c>
      <c r="H133" s="19"/>
      <c r="I133" s="19"/>
      <c r="J133" s="23">
        <f t="shared" si="11"/>
        <v>2200</v>
      </c>
    </row>
    <row r="134" customHeight="1" spans="1:10">
      <c r="A134" s="41" t="s">
        <v>261</v>
      </c>
      <c r="B134" s="41" t="s">
        <v>262</v>
      </c>
      <c r="C134" s="22" t="s">
        <v>196</v>
      </c>
      <c r="D134" s="19" t="s">
        <v>10</v>
      </c>
      <c r="E134" s="20">
        <v>600</v>
      </c>
      <c r="F134" s="19" t="s">
        <v>11</v>
      </c>
      <c r="G134" s="19">
        <v>1500</v>
      </c>
      <c r="H134" s="19"/>
      <c r="I134" s="19"/>
      <c r="J134" s="23">
        <f t="shared" si="11"/>
        <v>1500</v>
      </c>
    </row>
    <row r="135" customHeight="1" spans="1:10">
      <c r="A135" s="41" t="s">
        <v>263</v>
      </c>
      <c r="B135" s="41" t="s">
        <v>264</v>
      </c>
      <c r="C135" s="22" t="s">
        <v>196</v>
      </c>
      <c r="D135" s="19" t="s">
        <v>10</v>
      </c>
      <c r="E135" s="20">
        <v>600</v>
      </c>
      <c r="F135" s="19" t="s">
        <v>11</v>
      </c>
      <c r="G135" s="19">
        <v>1300</v>
      </c>
      <c r="H135" s="19"/>
      <c r="I135" s="19"/>
      <c r="J135" s="23">
        <f t="shared" si="11"/>
        <v>1300</v>
      </c>
    </row>
    <row r="136" customHeight="1" spans="1:10">
      <c r="A136" s="41" t="s">
        <v>265</v>
      </c>
      <c r="B136" s="41" t="s">
        <v>266</v>
      </c>
      <c r="C136" s="22" t="s">
        <v>196</v>
      </c>
      <c r="D136" s="19" t="s">
        <v>10</v>
      </c>
      <c r="E136" s="29">
        <v>600</v>
      </c>
      <c r="F136" s="19" t="s">
        <v>11</v>
      </c>
      <c r="G136" s="19">
        <v>2000</v>
      </c>
      <c r="H136" s="19"/>
      <c r="I136" s="19"/>
      <c r="J136" s="23">
        <f t="shared" si="11"/>
        <v>2000</v>
      </c>
    </row>
    <row r="137" customHeight="1" spans="1:10">
      <c r="A137" s="41" t="s">
        <v>267</v>
      </c>
      <c r="B137" s="41" t="s">
        <v>268</v>
      </c>
      <c r="C137" s="22" t="s">
        <v>196</v>
      </c>
      <c r="D137" s="19" t="s">
        <v>10</v>
      </c>
      <c r="E137" s="20">
        <v>600</v>
      </c>
      <c r="F137" s="19" t="s">
        <v>11</v>
      </c>
      <c r="G137" s="19">
        <v>1000</v>
      </c>
      <c r="H137" s="19"/>
      <c r="I137" s="19"/>
      <c r="J137" s="23">
        <f t="shared" si="11"/>
        <v>1000</v>
      </c>
    </row>
    <row r="138" customHeight="1" spans="1:10">
      <c r="A138" s="41" t="s">
        <v>269</v>
      </c>
      <c r="B138" s="41" t="s">
        <v>268</v>
      </c>
      <c r="C138" s="22" t="s">
        <v>196</v>
      </c>
      <c r="D138" s="19" t="s">
        <v>80</v>
      </c>
      <c r="E138" s="20">
        <v>601</v>
      </c>
      <c r="F138" s="19" t="s">
        <v>11</v>
      </c>
      <c r="G138" s="19">
        <v>1300</v>
      </c>
      <c r="H138" s="19"/>
      <c r="I138" s="19"/>
      <c r="J138" s="23">
        <f t="shared" ref="J138" si="15">G138+H138-I138</f>
        <v>1300</v>
      </c>
    </row>
    <row r="139" customHeight="1" spans="1:10">
      <c r="A139" s="40" t="s">
        <v>270</v>
      </c>
      <c r="B139" s="41" t="s">
        <v>271</v>
      </c>
      <c r="C139" s="22" t="s">
        <v>196</v>
      </c>
      <c r="D139" s="19" t="s">
        <v>10</v>
      </c>
      <c r="E139" s="20">
        <v>600</v>
      </c>
      <c r="F139" s="19" t="s">
        <v>11</v>
      </c>
      <c r="G139" s="19">
        <v>1500</v>
      </c>
      <c r="H139" s="19"/>
      <c r="I139" s="19"/>
      <c r="J139" s="23">
        <f t="shared" si="11"/>
        <v>1500</v>
      </c>
    </row>
    <row r="140" customHeight="1" spans="1:10">
      <c r="A140" s="41" t="s">
        <v>272</v>
      </c>
      <c r="B140" s="41" t="s">
        <v>273</v>
      </c>
      <c r="C140" s="22" t="s">
        <v>196</v>
      </c>
      <c r="D140" s="19" t="s">
        <v>10</v>
      </c>
      <c r="E140" s="20">
        <v>600</v>
      </c>
      <c r="F140" s="19" t="s">
        <v>11</v>
      </c>
      <c r="G140" s="19">
        <v>1300</v>
      </c>
      <c r="H140" s="19"/>
      <c r="I140" s="19"/>
      <c r="J140" s="23">
        <f t="shared" si="11"/>
        <v>1300</v>
      </c>
    </row>
    <row r="141" customHeight="1" spans="1:10">
      <c r="A141" s="41" t="s">
        <v>274</v>
      </c>
      <c r="B141" s="41" t="s">
        <v>275</v>
      </c>
      <c r="C141" s="22" t="s">
        <v>196</v>
      </c>
      <c r="D141" s="19" t="s">
        <v>10</v>
      </c>
      <c r="E141" s="20">
        <v>600</v>
      </c>
      <c r="F141" s="19" t="s">
        <v>11</v>
      </c>
      <c r="G141" s="19">
        <v>1300</v>
      </c>
      <c r="H141" s="19"/>
      <c r="I141" s="19"/>
      <c r="J141" s="23">
        <f t="shared" si="11"/>
        <v>1300</v>
      </c>
    </row>
    <row r="142" customHeight="1" spans="1:10">
      <c r="A142" s="41" t="s">
        <v>276</v>
      </c>
      <c r="B142" s="41" t="s">
        <v>277</v>
      </c>
      <c r="C142" s="22" t="s">
        <v>196</v>
      </c>
      <c r="D142" s="19" t="s">
        <v>10</v>
      </c>
      <c r="E142" s="20">
        <v>600</v>
      </c>
      <c r="F142" s="19" t="s">
        <v>11</v>
      </c>
      <c r="G142" s="19">
        <v>1300</v>
      </c>
      <c r="H142" s="19"/>
      <c r="I142" s="19"/>
      <c r="J142" s="23">
        <f t="shared" si="11"/>
        <v>1300</v>
      </c>
    </row>
    <row r="143" customHeight="1" spans="1:10">
      <c r="A143" s="41" t="s">
        <v>278</v>
      </c>
      <c r="B143" s="41" t="s">
        <v>279</v>
      </c>
      <c r="C143" s="22" t="s">
        <v>196</v>
      </c>
      <c r="D143" s="19" t="s">
        <v>10</v>
      </c>
      <c r="E143" s="20">
        <v>600</v>
      </c>
      <c r="F143" s="19" t="s">
        <v>11</v>
      </c>
      <c r="G143" s="19">
        <v>1300</v>
      </c>
      <c r="H143" s="19"/>
      <c r="I143" s="19"/>
      <c r="J143" s="23">
        <f t="shared" si="11"/>
        <v>1300</v>
      </c>
    </row>
    <row r="144" customHeight="1" spans="1:10">
      <c r="A144" s="41" t="s">
        <v>280</v>
      </c>
      <c r="B144" s="41" t="s">
        <v>281</v>
      </c>
      <c r="C144" s="22" t="s">
        <v>196</v>
      </c>
      <c r="D144" s="19" t="s">
        <v>10</v>
      </c>
      <c r="E144" s="20">
        <v>600</v>
      </c>
      <c r="F144" s="19" t="s">
        <v>11</v>
      </c>
      <c r="G144" s="19">
        <v>1300</v>
      </c>
      <c r="H144" s="19"/>
      <c r="I144" s="19"/>
      <c r="J144" s="23">
        <f t="shared" si="11"/>
        <v>1300</v>
      </c>
    </row>
    <row r="145" customHeight="1" spans="1:10">
      <c r="A145" s="41" t="s">
        <v>282</v>
      </c>
      <c r="B145" s="41" t="s">
        <v>283</v>
      </c>
      <c r="C145" s="22" t="s">
        <v>196</v>
      </c>
      <c r="D145" s="19" t="s">
        <v>10</v>
      </c>
      <c r="E145" s="20">
        <v>600</v>
      </c>
      <c r="F145" s="19" t="s">
        <v>11</v>
      </c>
      <c r="G145" s="19">
        <v>1300</v>
      </c>
      <c r="H145" s="19"/>
      <c r="I145" s="19"/>
      <c r="J145" s="23">
        <f t="shared" si="11"/>
        <v>1300</v>
      </c>
    </row>
    <row r="146" customHeight="1" spans="1:10">
      <c r="A146" s="41" t="s">
        <v>284</v>
      </c>
      <c r="B146" s="41" t="s">
        <v>285</v>
      </c>
      <c r="C146" s="22" t="s">
        <v>196</v>
      </c>
      <c r="D146" s="19" t="s">
        <v>10</v>
      </c>
      <c r="E146" s="20">
        <v>600</v>
      </c>
      <c r="F146" s="19" t="s">
        <v>11</v>
      </c>
      <c r="G146" s="19">
        <v>1300</v>
      </c>
      <c r="H146" s="19"/>
      <c r="I146" s="19"/>
      <c r="J146" s="23">
        <f t="shared" si="11"/>
        <v>1300</v>
      </c>
    </row>
    <row r="147" customHeight="1" spans="1:10">
      <c r="A147" s="40" t="s">
        <v>286</v>
      </c>
      <c r="B147" s="41" t="s">
        <v>287</v>
      </c>
      <c r="C147" s="22" t="s">
        <v>196</v>
      </c>
      <c r="D147" s="19" t="s">
        <v>10</v>
      </c>
      <c r="E147" s="20">
        <v>600</v>
      </c>
      <c r="F147" s="19" t="s">
        <v>11</v>
      </c>
      <c r="G147" s="19">
        <v>1000</v>
      </c>
      <c r="H147" s="19"/>
      <c r="I147" s="19"/>
      <c r="J147" s="23">
        <f t="shared" si="11"/>
        <v>1000</v>
      </c>
    </row>
    <row r="148" customHeight="1" spans="1:10">
      <c r="A148" s="42" t="s">
        <v>288</v>
      </c>
      <c r="B148" s="41" t="s">
        <v>289</v>
      </c>
      <c r="C148" s="22" t="s">
        <v>196</v>
      </c>
      <c r="D148" s="19" t="s">
        <v>10</v>
      </c>
      <c r="E148" s="20">
        <v>600</v>
      </c>
      <c r="F148" s="19" t="s">
        <v>11</v>
      </c>
      <c r="G148" s="19">
        <v>1700</v>
      </c>
      <c r="H148" s="19"/>
      <c r="I148" s="19"/>
      <c r="J148" s="23">
        <f t="shared" si="11"/>
        <v>1700</v>
      </c>
    </row>
    <row r="149" customHeight="1" spans="1:10">
      <c r="A149" s="41" t="s">
        <v>290</v>
      </c>
      <c r="B149" s="41" t="s">
        <v>291</v>
      </c>
      <c r="C149" s="22" t="s">
        <v>196</v>
      </c>
      <c r="D149" s="19" t="s">
        <v>22</v>
      </c>
      <c r="E149" s="20">
        <v>800</v>
      </c>
      <c r="F149" s="19" t="s">
        <v>11</v>
      </c>
      <c r="G149" s="19">
        <v>1300</v>
      </c>
      <c r="H149" s="19"/>
      <c r="I149" s="19"/>
      <c r="J149" s="23">
        <f t="shared" si="11"/>
        <v>1300</v>
      </c>
    </row>
    <row r="150" customHeight="1" spans="1:10">
      <c r="A150" s="41" t="s">
        <v>292</v>
      </c>
      <c r="B150" s="41" t="s">
        <v>293</v>
      </c>
      <c r="C150" s="22" t="s">
        <v>196</v>
      </c>
      <c r="D150" s="19" t="s">
        <v>10</v>
      </c>
      <c r="E150" s="20">
        <v>600</v>
      </c>
      <c r="F150" s="19" t="s">
        <v>11</v>
      </c>
      <c r="G150" s="19">
        <v>2000</v>
      </c>
      <c r="H150" s="19"/>
      <c r="I150" s="19"/>
      <c r="J150" s="23">
        <f t="shared" si="11"/>
        <v>2000</v>
      </c>
    </row>
    <row r="151" customHeight="1" spans="1:10">
      <c r="A151" s="41" t="s">
        <v>294</v>
      </c>
      <c r="B151" s="41" t="s">
        <v>295</v>
      </c>
      <c r="C151" s="49" t="s">
        <v>296</v>
      </c>
      <c r="D151" s="19" t="s">
        <v>10</v>
      </c>
      <c r="E151" s="20">
        <v>600</v>
      </c>
      <c r="F151" s="19" t="s">
        <v>11</v>
      </c>
      <c r="G151" s="19">
        <v>1500</v>
      </c>
      <c r="H151" s="19"/>
      <c r="I151" s="19"/>
      <c r="J151" s="23">
        <f t="shared" si="11"/>
        <v>1500</v>
      </c>
    </row>
    <row r="152" customHeight="1" spans="1:10">
      <c r="A152" s="40" t="s">
        <v>297</v>
      </c>
      <c r="B152" s="41" t="s">
        <v>298</v>
      </c>
      <c r="C152" s="32" t="s">
        <v>296</v>
      </c>
      <c r="D152" s="19" t="s">
        <v>10</v>
      </c>
      <c r="E152" s="20">
        <v>600</v>
      </c>
      <c r="F152" s="19" t="s">
        <v>11</v>
      </c>
      <c r="G152" s="19">
        <v>1500</v>
      </c>
      <c r="H152" s="19"/>
      <c r="I152" s="19"/>
      <c r="J152" s="23">
        <f t="shared" si="11"/>
        <v>1500</v>
      </c>
    </row>
    <row r="153" customHeight="1" spans="1:10">
      <c r="A153" s="41" t="s">
        <v>299</v>
      </c>
      <c r="B153" s="41" t="s">
        <v>300</v>
      </c>
      <c r="C153" s="49" t="s">
        <v>296</v>
      </c>
      <c r="D153" s="19" t="s">
        <v>10</v>
      </c>
      <c r="E153" s="20">
        <v>600</v>
      </c>
      <c r="F153" s="19" t="s">
        <v>11</v>
      </c>
      <c r="G153" s="19">
        <v>1500</v>
      </c>
      <c r="H153" s="19"/>
      <c r="I153" s="19"/>
      <c r="J153" s="23">
        <f t="shared" si="11"/>
        <v>1500</v>
      </c>
    </row>
    <row r="154" customHeight="1" spans="1:10">
      <c r="A154" s="40" t="s">
        <v>301</v>
      </c>
      <c r="B154" s="41" t="s">
        <v>302</v>
      </c>
      <c r="C154" s="32" t="s">
        <v>296</v>
      </c>
      <c r="D154" s="19" t="s">
        <v>10</v>
      </c>
      <c r="E154" s="20">
        <v>600</v>
      </c>
      <c r="F154" s="19" t="s">
        <v>11</v>
      </c>
      <c r="G154" s="19">
        <v>1500</v>
      </c>
      <c r="H154" s="19"/>
      <c r="I154" s="19"/>
      <c r="J154" s="23">
        <f t="shared" si="11"/>
        <v>1500</v>
      </c>
    </row>
    <row r="155" customHeight="1" spans="1:10">
      <c r="A155" s="41" t="s">
        <v>303</v>
      </c>
      <c r="B155" s="41" t="s">
        <v>304</v>
      </c>
      <c r="C155" s="49" t="s">
        <v>296</v>
      </c>
      <c r="D155" s="19" t="s">
        <v>10</v>
      </c>
      <c r="E155" s="20">
        <v>600</v>
      </c>
      <c r="F155" s="19" t="s">
        <v>11</v>
      </c>
      <c r="G155" s="19">
        <v>2000</v>
      </c>
      <c r="H155" s="19"/>
      <c r="I155" s="19"/>
      <c r="J155" s="23">
        <f t="shared" si="11"/>
        <v>2000</v>
      </c>
    </row>
    <row r="156" customHeight="1" spans="1:10">
      <c r="A156" s="41" t="s">
        <v>305</v>
      </c>
      <c r="B156" s="41" t="s">
        <v>306</v>
      </c>
      <c r="C156" s="32" t="s">
        <v>296</v>
      </c>
      <c r="D156" s="19" t="s">
        <v>10</v>
      </c>
      <c r="E156" s="20">
        <v>600</v>
      </c>
      <c r="F156" s="19" t="s">
        <v>11</v>
      </c>
      <c r="G156" s="19">
        <v>2500</v>
      </c>
      <c r="H156" s="19"/>
      <c r="I156" s="19"/>
      <c r="J156" s="23">
        <f t="shared" si="11"/>
        <v>2500</v>
      </c>
    </row>
    <row r="157" customHeight="1" spans="1:10">
      <c r="A157" s="41" t="s">
        <v>307</v>
      </c>
      <c r="B157" s="41" t="s">
        <v>308</v>
      </c>
      <c r="C157" s="49" t="s">
        <v>296</v>
      </c>
      <c r="D157" s="19" t="s">
        <v>10</v>
      </c>
      <c r="E157" s="20">
        <v>600</v>
      </c>
      <c r="F157" s="19" t="s">
        <v>11</v>
      </c>
      <c r="G157" s="19">
        <v>2000</v>
      </c>
      <c r="H157" s="19"/>
      <c r="I157" s="19"/>
      <c r="J157" s="23">
        <f t="shared" ref="J157:J178" si="16">G157+H157-I157</f>
        <v>2000</v>
      </c>
    </row>
    <row r="158" customHeight="1" spans="1:10">
      <c r="A158" s="40" t="s">
        <v>309</v>
      </c>
      <c r="B158" s="41" t="s">
        <v>310</v>
      </c>
      <c r="C158" s="32" t="s">
        <v>296</v>
      </c>
      <c r="D158" s="19" t="s">
        <v>10</v>
      </c>
      <c r="E158" s="20">
        <v>600</v>
      </c>
      <c r="F158" s="19" t="s">
        <v>11</v>
      </c>
      <c r="G158" s="19">
        <v>1500</v>
      </c>
      <c r="H158" s="19"/>
      <c r="I158" s="19"/>
      <c r="J158" s="23">
        <f t="shared" si="16"/>
        <v>1500</v>
      </c>
    </row>
    <row r="159" customHeight="1" spans="1:10">
      <c r="A159" s="41" t="s">
        <v>311</v>
      </c>
      <c r="B159" s="41" t="s">
        <v>312</v>
      </c>
      <c r="C159" s="49" t="s">
        <v>296</v>
      </c>
      <c r="D159" s="19" t="s">
        <v>10</v>
      </c>
      <c r="E159" s="20">
        <v>600</v>
      </c>
      <c r="F159" s="19" t="s">
        <v>11</v>
      </c>
      <c r="G159" s="19">
        <v>1500</v>
      </c>
      <c r="H159" s="28"/>
      <c r="I159" s="28"/>
      <c r="J159" s="23">
        <f t="shared" si="16"/>
        <v>1500</v>
      </c>
    </row>
    <row r="160" customHeight="1" spans="1:10">
      <c r="A160" s="50" t="s">
        <v>313</v>
      </c>
      <c r="B160" s="50" t="s">
        <v>314</v>
      </c>
      <c r="C160" s="49" t="s">
        <v>296</v>
      </c>
      <c r="D160" s="19" t="s">
        <v>10</v>
      </c>
      <c r="E160" s="51">
        <v>600</v>
      </c>
      <c r="F160" s="52" t="s">
        <v>11</v>
      </c>
      <c r="G160" s="53">
        <v>1500</v>
      </c>
      <c r="H160" s="54"/>
      <c r="I160" s="59"/>
      <c r="J160" s="60">
        <f t="shared" si="16"/>
        <v>1500</v>
      </c>
    </row>
    <row r="161" customHeight="1" spans="1:10">
      <c r="A161" s="40" t="s">
        <v>315</v>
      </c>
      <c r="B161" s="41" t="s">
        <v>316</v>
      </c>
      <c r="C161" s="32" t="s">
        <v>296</v>
      </c>
      <c r="D161" s="19" t="s">
        <v>10</v>
      </c>
      <c r="E161" s="20">
        <v>600</v>
      </c>
      <c r="F161" s="19" t="s">
        <v>11</v>
      </c>
      <c r="G161" s="19">
        <v>1500</v>
      </c>
      <c r="H161" s="55"/>
      <c r="I161" s="55"/>
      <c r="J161" s="23">
        <f t="shared" si="16"/>
        <v>1500</v>
      </c>
    </row>
    <row r="162" customHeight="1" spans="1:10">
      <c r="A162" s="41" t="s">
        <v>317</v>
      </c>
      <c r="B162" s="41" t="s">
        <v>318</v>
      </c>
      <c r="C162" s="49" t="s">
        <v>296</v>
      </c>
      <c r="D162" s="19" t="s">
        <v>10</v>
      </c>
      <c r="E162" s="20">
        <v>600</v>
      </c>
      <c r="F162" s="19" t="s">
        <v>11</v>
      </c>
      <c r="G162" s="19">
        <v>2500</v>
      </c>
      <c r="H162" s="19"/>
      <c r="I162" s="19"/>
      <c r="J162" s="23">
        <f t="shared" si="16"/>
        <v>2500</v>
      </c>
    </row>
    <row r="163" customHeight="1" spans="1:10">
      <c r="A163" s="41" t="s">
        <v>319</v>
      </c>
      <c r="B163" s="41" t="s">
        <v>320</v>
      </c>
      <c r="C163" s="32" t="s">
        <v>296</v>
      </c>
      <c r="D163" s="19" t="s">
        <v>10</v>
      </c>
      <c r="E163" s="20">
        <v>600</v>
      </c>
      <c r="F163" s="19" t="s">
        <v>11</v>
      </c>
      <c r="G163" s="19">
        <v>4000</v>
      </c>
      <c r="H163" s="19"/>
      <c r="I163" s="19"/>
      <c r="J163" s="23">
        <f t="shared" si="16"/>
        <v>4000</v>
      </c>
    </row>
    <row r="164" customHeight="1" spans="1:10">
      <c r="A164" s="41" t="s">
        <v>321</v>
      </c>
      <c r="B164" s="41" t="s">
        <v>322</v>
      </c>
      <c r="C164" s="49" t="s">
        <v>296</v>
      </c>
      <c r="D164" s="19" t="s">
        <v>10</v>
      </c>
      <c r="E164" s="20">
        <v>600</v>
      </c>
      <c r="F164" s="19" t="s">
        <v>11</v>
      </c>
      <c r="G164" s="19">
        <v>600</v>
      </c>
      <c r="H164" s="19"/>
      <c r="I164" s="19"/>
      <c r="J164" s="23">
        <f t="shared" si="16"/>
        <v>600</v>
      </c>
    </row>
    <row r="165" customHeight="1" spans="1:10">
      <c r="A165" s="41" t="s">
        <v>323</v>
      </c>
      <c r="B165" s="41" t="s">
        <v>324</v>
      </c>
      <c r="C165" s="32" t="s">
        <v>296</v>
      </c>
      <c r="D165" s="19" t="s">
        <v>10</v>
      </c>
      <c r="E165" s="20">
        <v>600</v>
      </c>
      <c r="F165" s="19" t="s">
        <v>11</v>
      </c>
      <c r="G165" s="19">
        <v>2000</v>
      </c>
      <c r="H165" s="19"/>
      <c r="I165" s="19"/>
      <c r="J165" s="23">
        <f t="shared" si="16"/>
        <v>2000</v>
      </c>
    </row>
    <row r="166" customHeight="1" spans="1:10">
      <c r="A166" s="40" t="s">
        <v>325</v>
      </c>
      <c r="B166" s="41" t="s">
        <v>326</v>
      </c>
      <c r="C166" s="49" t="s">
        <v>296</v>
      </c>
      <c r="D166" s="19" t="s">
        <v>10</v>
      </c>
      <c r="E166" s="20">
        <v>600</v>
      </c>
      <c r="F166" s="19" t="s">
        <v>11</v>
      </c>
      <c r="G166" s="19">
        <v>1500</v>
      </c>
      <c r="H166" s="19"/>
      <c r="I166" s="19"/>
      <c r="J166" s="23">
        <f t="shared" si="16"/>
        <v>1500</v>
      </c>
    </row>
    <row r="167" customHeight="1" spans="1:10">
      <c r="A167" s="41" t="s">
        <v>327</v>
      </c>
      <c r="B167" s="41" t="s">
        <v>328</v>
      </c>
      <c r="C167" s="32" t="s">
        <v>296</v>
      </c>
      <c r="D167" s="19" t="s">
        <v>10</v>
      </c>
      <c r="E167" s="20">
        <v>600</v>
      </c>
      <c r="F167" s="19" t="s">
        <v>11</v>
      </c>
      <c r="G167" s="19">
        <v>2000</v>
      </c>
      <c r="H167" s="19"/>
      <c r="I167" s="19"/>
      <c r="J167" s="23">
        <f t="shared" si="16"/>
        <v>2000</v>
      </c>
    </row>
    <row r="168" customHeight="1" spans="1:10">
      <c r="A168" s="41" t="s">
        <v>329</v>
      </c>
      <c r="B168" s="41" t="s">
        <v>330</v>
      </c>
      <c r="C168" s="49" t="s">
        <v>296</v>
      </c>
      <c r="D168" s="19" t="s">
        <v>10</v>
      </c>
      <c r="E168" s="20">
        <v>600</v>
      </c>
      <c r="F168" s="19" t="s">
        <v>11</v>
      </c>
      <c r="G168" s="19">
        <v>3000</v>
      </c>
      <c r="H168" s="19"/>
      <c r="I168" s="19"/>
      <c r="J168" s="23">
        <f t="shared" si="16"/>
        <v>3000</v>
      </c>
    </row>
    <row r="169" customHeight="1" spans="1:10">
      <c r="A169" s="41" t="s">
        <v>331</v>
      </c>
      <c r="B169" s="41" t="s">
        <v>332</v>
      </c>
      <c r="C169" s="49" t="s">
        <v>296</v>
      </c>
      <c r="D169" s="19" t="s">
        <v>10</v>
      </c>
      <c r="E169" s="20">
        <v>600</v>
      </c>
      <c r="F169" s="19" t="s">
        <v>11</v>
      </c>
      <c r="G169" s="19">
        <v>1300</v>
      </c>
      <c r="H169" s="19"/>
      <c r="I169" s="19"/>
      <c r="J169" s="23">
        <f t="shared" si="16"/>
        <v>1300</v>
      </c>
    </row>
    <row r="170" customHeight="1" spans="1:10">
      <c r="A170" s="41" t="s">
        <v>333</v>
      </c>
      <c r="B170" s="41" t="s">
        <v>334</v>
      </c>
      <c r="C170" s="32" t="s">
        <v>296</v>
      </c>
      <c r="D170" s="19" t="s">
        <v>10</v>
      </c>
      <c r="E170" s="20">
        <v>600</v>
      </c>
      <c r="F170" s="19" t="s">
        <v>11</v>
      </c>
      <c r="G170" s="19">
        <v>1300</v>
      </c>
      <c r="H170" s="19"/>
      <c r="I170" s="19"/>
      <c r="J170" s="23">
        <f t="shared" si="16"/>
        <v>1300</v>
      </c>
    </row>
    <row r="171" customHeight="1" spans="1:10">
      <c r="A171" s="41" t="s">
        <v>335</v>
      </c>
      <c r="B171" s="41" t="s">
        <v>336</v>
      </c>
      <c r="C171" s="49" t="s">
        <v>337</v>
      </c>
      <c r="D171" s="19" t="s">
        <v>10</v>
      </c>
      <c r="E171" s="20">
        <v>600</v>
      </c>
      <c r="F171" s="19" t="s">
        <v>11</v>
      </c>
      <c r="G171" s="19">
        <v>1300</v>
      </c>
      <c r="H171" s="19"/>
      <c r="I171" s="19"/>
      <c r="J171" s="23">
        <f t="shared" si="16"/>
        <v>1300</v>
      </c>
    </row>
    <row r="172" customHeight="1" spans="1:10">
      <c r="A172" s="41" t="s">
        <v>338</v>
      </c>
      <c r="B172" s="41" t="s">
        <v>339</v>
      </c>
      <c r="C172" s="49" t="s">
        <v>337</v>
      </c>
      <c r="D172" s="19" t="s">
        <v>10</v>
      </c>
      <c r="E172" s="20">
        <v>600</v>
      </c>
      <c r="F172" s="19" t="s">
        <v>11</v>
      </c>
      <c r="G172" s="19">
        <v>0</v>
      </c>
      <c r="H172" s="19"/>
      <c r="I172" s="19"/>
      <c r="J172" s="23">
        <f t="shared" si="16"/>
        <v>0</v>
      </c>
    </row>
    <row r="173" customHeight="1" spans="1:10">
      <c r="A173" s="40" t="s">
        <v>340</v>
      </c>
      <c r="B173" s="41" t="s">
        <v>341</v>
      </c>
      <c r="C173" s="49" t="s">
        <v>337</v>
      </c>
      <c r="D173" s="19" t="s">
        <v>10</v>
      </c>
      <c r="E173" s="20">
        <v>600</v>
      </c>
      <c r="F173" s="19" t="s">
        <v>11</v>
      </c>
      <c r="G173" s="19">
        <v>1000</v>
      </c>
      <c r="H173" s="19"/>
      <c r="I173" s="19"/>
      <c r="J173" s="23">
        <f t="shared" si="16"/>
        <v>1000</v>
      </c>
    </row>
    <row r="174" customHeight="1" spans="1:10">
      <c r="A174" s="40" t="s">
        <v>342</v>
      </c>
      <c r="B174" s="41" t="s">
        <v>343</v>
      </c>
      <c r="C174" s="49" t="s">
        <v>337</v>
      </c>
      <c r="D174" s="19" t="s">
        <v>10</v>
      </c>
      <c r="E174" s="20">
        <v>600</v>
      </c>
      <c r="F174" s="19" t="s">
        <v>11</v>
      </c>
      <c r="G174" s="19">
        <v>2000</v>
      </c>
      <c r="H174" s="19"/>
      <c r="I174" s="19"/>
      <c r="J174" s="23">
        <f t="shared" si="16"/>
        <v>2000</v>
      </c>
    </row>
    <row r="175" customHeight="1" spans="1:10">
      <c r="A175" s="40" t="s">
        <v>344</v>
      </c>
      <c r="B175" s="41" t="s">
        <v>345</v>
      </c>
      <c r="C175" s="49" t="s">
        <v>337</v>
      </c>
      <c r="D175" s="19" t="s">
        <v>10</v>
      </c>
      <c r="E175" s="20">
        <v>600</v>
      </c>
      <c r="F175" s="19" t="s">
        <v>11</v>
      </c>
      <c r="G175" s="19">
        <v>3000</v>
      </c>
      <c r="H175" s="19"/>
      <c r="I175" s="19"/>
      <c r="J175" s="23">
        <f t="shared" si="16"/>
        <v>3000</v>
      </c>
    </row>
    <row r="176" customHeight="1" spans="1:10">
      <c r="A176" s="40" t="s">
        <v>346</v>
      </c>
      <c r="B176" s="41" t="s">
        <v>347</v>
      </c>
      <c r="C176" s="49" t="s">
        <v>337</v>
      </c>
      <c r="D176" s="19" t="s">
        <v>10</v>
      </c>
      <c r="E176" s="20">
        <v>600</v>
      </c>
      <c r="F176" s="19" t="s">
        <v>11</v>
      </c>
      <c r="G176" s="19">
        <v>2000</v>
      </c>
      <c r="H176" s="19"/>
      <c r="I176" s="19"/>
      <c r="J176" s="23">
        <f t="shared" si="16"/>
        <v>2000</v>
      </c>
    </row>
    <row r="177" customHeight="1" spans="1:10">
      <c r="A177" s="56" t="s">
        <v>348</v>
      </c>
      <c r="B177" s="57" t="s">
        <v>349</v>
      </c>
      <c r="C177" s="49" t="s">
        <v>337</v>
      </c>
      <c r="D177" s="19" t="s">
        <v>10</v>
      </c>
      <c r="E177" s="20">
        <v>600</v>
      </c>
      <c r="F177" s="19" t="s">
        <v>11</v>
      </c>
      <c r="G177" s="19">
        <v>1000</v>
      </c>
      <c r="H177" s="19"/>
      <c r="I177" s="19"/>
      <c r="J177" s="23">
        <f t="shared" si="16"/>
        <v>1000</v>
      </c>
    </row>
    <row r="178" customHeight="1" spans="1:10">
      <c r="A178" s="56" t="s">
        <v>350</v>
      </c>
      <c r="B178" s="57" t="s">
        <v>351</v>
      </c>
      <c r="C178" s="58" t="s">
        <v>337</v>
      </c>
      <c r="D178" s="19" t="s">
        <v>10</v>
      </c>
      <c r="E178" s="20">
        <v>600</v>
      </c>
      <c r="F178" s="19" t="s">
        <v>11</v>
      </c>
      <c r="G178" s="19">
        <v>2000</v>
      </c>
      <c r="H178" s="19"/>
      <c r="I178" s="19"/>
      <c r="J178" s="23">
        <f t="shared" si="16"/>
        <v>2000</v>
      </c>
    </row>
    <row r="179" customHeight="1" spans="1:10">
      <c r="A179" s="50" t="s">
        <v>352</v>
      </c>
      <c r="B179" s="57" t="s">
        <v>353</v>
      </c>
      <c r="C179" s="58" t="s">
        <v>354</v>
      </c>
      <c r="D179" s="19" t="s">
        <v>80</v>
      </c>
      <c r="E179" s="20">
        <v>601</v>
      </c>
      <c r="F179" s="19" t="s">
        <v>11</v>
      </c>
      <c r="G179" s="19">
        <v>1300</v>
      </c>
      <c r="H179" s="19"/>
      <c r="I179" s="19"/>
      <c r="J179" s="23">
        <f t="shared" ref="J179:J201" si="17">G179+H179-I179</f>
        <v>1300</v>
      </c>
    </row>
    <row r="180" customHeight="1" spans="1:10">
      <c r="A180" s="50" t="s">
        <v>355</v>
      </c>
      <c r="B180" s="57" t="s">
        <v>353</v>
      </c>
      <c r="C180" s="58" t="s">
        <v>354</v>
      </c>
      <c r="D180" s="19" t="s">
        <v>22</v>
      </c>
      <c r="E180" s="20">
        <v>602</v>
      </c>
      <c r="F180" s="19" t="s">
        <v>11</v>
      </c>
      <c r="G180" s="19">
        <v>1500</v>
      </c>
      <c r="H180" s="19"/>
      <c r="I180" s="19"/>
      <c r="J180" s="23">
        <f t="shared" si="17"/>
        <v>1500</v>
      </c>
    </row>
    <row r="181" customHeight="1" spans="1:10">
      <c r="A181" s="50" t="s">
        <v>356</v>
      </c>
      <c r="B181" s="57" t="s">
        <v>353</v>
      </c>
      <c r="C181" s="58" t="s">
        <v>354</v>
      </c>
      <c r="D181" s="19" t="s">
        <v>357</v>
      </c>
      <c r="E181" s="20">
        <v>603</v>
      </c>
      <c r="F181" s="19" t="s">
        <v>11</v>
      </c>
      <c r="G181" s="19">
        <v>1500</v>
      </c>
      <c r="H181" s="19"/>
      <c r="I181" s="19"/>
      <c r="J181" s="23">
        <f t="shared" si="17"/>
        <v>1500</v>
      </c>
    </row>
    <row r="182" customHeight="1" spans="1:10">
      <c r="A182" s="56" t="s">
        <v>358</v>
      </c>
      <c r="B182" s="57" t="s">
        <v>353</v>
      </c>
      <c r="C182" s="58" t="s">
        <v>354</v>
      </c>
      <c r="D182" s="19" t="s">
        <v>120</v>
      </c>
      <c r="E182" s="20">
        <v>604</v>
      </c>
      <c r="F182" s="19" t="s">
        <v>11</v>
      </c>
      <c r="G182" s="19">
        <v>1500</v>
      </c>
      <c r="H182" s="19"/>
      <c r="I182" s="19"/>
      <c r="J182" s="23">
        <f t="shared" si="17"/>
        <v>1500</v>
      </c>
    </row>
    <row r="183" customHeight="1" spans="1:10">
      <c r="A183" s="50" t="s">
        <v>359</v>
      </c>
      <c r="B183" s="57" t="s">
        <v>353</v>
      </c>
      <c r="C183" s="58" t="s">
        <v>354</v>
      </c>
      <c r="D183" s="19" t="s">
        <v>360</v>
      </c>
      <c r="E183" s="20">
        <v>605</v>
      </c>
      <c r="F183" s="19" t="s">
        <v>11</v>
      </c>
      <c r="G183" s="19">
        <v>1300</v>
      </c>
      <c r="H183" s="19"/>
      <c r="I183" s="19"/>
      <c r="J183" s="23">
        <f t="shared" si="17"/>
        <v>1300</v>
      </c>
    </row>
    <row r="184" customHeight="1" spans="1:10">
      <c r="A184" s="50" t="s">
        <v>361</v>
      </c>
      <c r="B184" s="57" t="s">
        <v>353</v>
      </c>
      <c r="C184" s="58" t="s">
        <v>354</v>
      </c>
      <c r="D184" s="19" t="s">
        <v>117</v>
      </c>
      <c r="E184" s="20">
        <v>606</v>
      </c>
      <c r="F184" s="19" t="s">
        <v>11</v>
      </c>
      <c r="G184" s="19">
        <v>2000</v>
      </c>
      <c r="H184" s="19"/>
      <c r="I184" s="19"/>
      <c r="J184" s="23">
        <f t="shared" si="17"/>
        <v>2000</v>
      </c>
    </row>
    <row r="185" customHeight="1" spans="1:10">
      <c r="A185" s="56" t="s">
        <v>362</v>
      </c>
      <c r="B185" s="57" t="s">
        <v>353</v>
      </c>
      <c r="C185" s="58" t="s">
        <v>354</v>
      </c>
      <c r="D185" s="19" t="s">
        <v>363</v>
      </c>
      <c r="E185" s="20">
        <v>607</v>
      </c>
      <c r="F185" s="19" t="s">
        <v>11</v>
      </c>
      <c r="G185" s="19">
        <v>1000</v>
      </c>
      <c r="H185" s="19"/>
      <c r="I185" s="19"/>
      <c r="J185" s="23">
        <f t="shared" si="17"/>
        <v>1000</v>
      </c>
    </row>
    <row r="186" customHeight="1" spans="1:10">
      <c r="A186" s="50" t="s">
        <v>364</v>
      </c>
      <c r="B186" s="57" t="s">
        <v>353</v>
      </c>
      <c r="C186" s="58" t="s">
        <v>354</v>
      </c>
      <c r="D186" s="19" t="s">
        <v>365</v>
      </c>
      <c r="E186" s="20">
        <v>608</v>
      </c>
      <c r="F186" s="19" t="s">
        <v>11</v>
      </c>
      <c r="G186" s="19">
        <v>1200</v>
      </c>
      <c r="H186" s="19"/>
      <c r="I186" s="19"/>
      <c r="J186" s="23">
        <f t="shared" si="17"/>
        <v>1200</v>
      </c>
    </row>
    <row r="187" customHeight="1" spans="1:10">
      <c r="A187" s="50" t="s">
        <v>366</v>
      </c>
      <c r="B187" s="57" t="s">
        <v>353</v>
      </c>
      <c r="C187" s="58" t="s">
        <v>354</v>
      </c>
      <c r="D187" s="19" t="s">
        <v>367</v>
      </c>
      <c r="E187" s="20">
        <v>609</v>
      </c>
      <c r="F187" s="19" t="s">
        <v>11</v>
      </c>
      <c r="G187" s="19">
        <v>0</v>
      </c>
      <c r="H187" s="19"/>
      <c r="I187" s="19"/>
      <c r="J187" s="23">
        <f t="shared" si="17"/>
        <v>0</v>
      </c>
    </row>
    <row r="188" customHeight="1" spans="1:10">
      <c r="A188" s="56" t="s">
        <v>368</v>
      </c>
      <c r="B188" s="57" t="s">
        <v>353</v>
      </c>
      <c r="C188" s="58" t="s">
        <v>354</v>
      </c>
      <c r="D188" s="19" t="s">
        <v>369</v>
      </c>
      <c r="E188" s="20">
        <v>610</v>
      </c>
      <c r="F188" s="19" t="s">
        <v>11</v>
      </c>
      <c r="G188" s="19">
        <v>1500</v>
      </c>
      <c r="H188" s="19"/>
      <c r="I188" s="19"/>
      <c r="J188" s="23">
        <f t="shared" si="17"/>
        <v>1500</v>
      </c>
    </row>
    <row r="189" customHeight="1" spans="1:10">
      <c r="A189" s="50" t="s">
        <v>370</v>
      </c>
      <c r="B189" s="57" t="s">
        <v>353</v>
      </c>
      <c r="C189" s="58" t="s">
        <v>354</v>
      </c>
      <c r="D189" s="19" t="s">
        <v>207</v>
      </c>
      <c r="E189" s="20">
        <v>612</v>
      </c>
      <c r="F189" s="19" t="s">
        <v>11</v>
      </c>
      <c r="G189" s="19">
        <v>2000</v>
      </c>
      <c r="H189" s="19"/>
      <c r="I189" s="19"/>
      <c r="J189" s="23">
        <f t="shared" si="17"/>
        <v>2000</v>
      </c>
    </row>
    <row r="190" customHeight="1" spans="1:10">
      <c r="A190" s="50" t="s">
        <v>371</v>
      </c>
      <c r="B190" s="57" t="s">
        <v>353</v>
      </c>
      <c r="C190" s="58" t="s">
        <v>354</v>
      </c>
      <c r="D190" s="19" t="s">
        <v>372</v>
      </c>
      <c r="E190" s="20">
        <v>613</v>
      </c>
      <c r="F190" s="19" t="s">
        <v>11</v>
      </c>
      <c r="G190" s="19">
        <v>13000</v>
      </c>
      <c r="H190" s="19"/>
      <c r="I190" s="19"/>
      <c r="J190" s="23">
        <f t="shared" si="17"/>
        <v>13000</v>
      </c>
    </row>
    <row r="191" customHeight="1" spans="1:10">
      <c r="A191" s="50" t="s">
        <v>373</v>
      </c>
      <c r="B191" s="57" t="s">
        <v>353</v>
      </c>
      <c r="C191" s="58" t="s">
        <v>354</v>
      </c>
      <c r="D191" s="19" t="s">
        <v>374</v>
      </c>
      <c r="E191" s="20">
        <v>614</v>
      </c>
      <c r="F191" s="19" t="s">
        <v>11</v>
      </c>
      <c r="G191" s="19">
        <v>1000</v>
      </c>
      <c r="H191" s="19"/>
      <c r="I191" s="19"/>
      <c r="J191" s="23">
        <f t="shared" si="17"/>
        <v>1000</v>
      </c>
    </row>
    <row r="192" customHeight="1" spans="1:10">
      <c r="A192" s="50" t="s">
        <v>375</v>
      </c>
      <c r="B192" s="57" t="s">
        <v>353</v>
      </c>
      <c r="C192" s="58" t="s">
        <v>354</v>
      </c>
      <c r="D192" s="19" t="s">
        <v>376</v>
      </c>
      <c r="E192" s="20">
        <v>615</v>
      </c>
      <c r="F192" s="19" t="s">
        <v>11</v>
      </c>
      <c r="G192" s="19">
        <v>1500</v>
      </c>
      <c r="H192" s="19"/>
      <c r="I192" s="19"/>
      <c r="J192" s="23">
        <f t="shared" si="17"/>
        <v>1500</v>
      </c>
    </row>
    <row r="193" customHeight="1" spans="1:10">
      <c r="A193" s="50" t="s">
        <v>377</v>
      </c>
      <c r="B193" s="57" t="s">
        <v>353</v>
      </c>
      <c r="C193" s="58" t="s">
        <v>354</v>
      </c>
      <c r="D193" s="19" t="s">
        <v>378</v>
      </c>
      <c r="E193" s="20">
        <v>616</v>
      </c>
      <c r="F193" s="19" t="s">
        <v>11</v>
      </c>
      <c r="G193" s="19">
        <v>2500</v>
      </c>
      <c r="H193" s="19"/>
      <c r="I193" s="19"/>
      <c r="J193" s="23">
        <f t="shared" si="17"/>
        <v>2500</v>
      </c>
    </row>
    <row r="194" customHeight="1" spans="1:10">
      <c r="A194" s="50" t="s">
        <v>379</v>
      </c>
      <c r="B194" s="57" t="s">
        <v>353</v>
      </c>
      <c r="C194" s="58" t="s">
        <v>354</v>
      </c>
      <c r="D194" s="19" t="s">
        <v>380</v>
      </c>
      <c r="E194" s="20">
        <v>617</v>
      </c>
      <c r="F194" s="19" t="s">
        <v>11</v>
      </c>
      <c r="G194" s="19">
        <v>1300</v>
      </c>
      <c r="H194" s="19"/>
      <c r="I194" s="19"/>
      <c r="J194" s="23">
        <f t="shared" si="17"/>
        <v>1300</v>
      </c>
    </row>
    <row r="195" customHeight="1" spans="1:10">
      <c r="A195" s="50" t="s">
        <v>381</v>
      </c>
      <c r="B195" s="57" t="s">
        <v>353</v>
      </c>
      <c r="C195" s="58" t="s">
        <v>354</v>
      </c>
      <c r="D195" s="19" t="s">
        <v>382</v>
      </c>
      <c r="E195" s="20">
        <v>618</v>
      </c>
      <c r="F195" s="19" t="s">
        <v>11</v>
      </c>
      <c r="G195" s="19">
        <v>3000</v>
      </c>
      <c r="H195" s="19"/>
      <c r="I195" s="19"/>
      <c r="J195" s="23">
        <f t="shared" si="17"/>
        <v>3000</v>
      </c>
    </row>
    <row r="196" customHeight="1" spans="1:10">
      <c r="A196" s="50" t="s">
        <v>383</v>
      </c>
      <c r="B196" s="57" t="s">
        <v>353</v>
      </c>
      <c r="C196" s="58" t="s">
        <v>354</v>
      </c>
      <c r="D196" s="19" t="s">
        <v>384</v>
      </c>
      <c r="E196" s="20">
        <v>619</v>
      </c>
      <c r="F196" s="19" t="s">
        <v>11</v>
      </c>
      <c r="G196" s="19">
        <v>10000</v>
      </c>
      <c r="H196" s="19"/>
      <c r="I196" s="19"/>
      <c r="J196" s="23">
        <f t="shared" si="17"/>
        <v>10000</v>
      </c>
    </row>
    <row r="197" customHeight="1" spans="1:10">
      <c r="A197" s="50" t="s">
        <v>385</v>
      </c>
      <c r="B197" s="57" t="s">
        <v>353</v>
      </c>
      <c r="C197" s="58" t="s">
        <v>354</v>
      </c>
      <c r="D197" s="19" t="s">
        <v>386</v>
      </c>
      <c r="E197" s="20">
        <v>620</v>
      </c>
      <c r="F197" s="19" t="s">
        <v>11</v>
      </c>
      <c r="G197" s="19">
        <v>0</v>
      </c>
      <c r="H197" s="19"/>
      <c r="I197" s="19"/>
      <c r="J197" s="23">
        <f t="shared" si="17"/>
        <v>0</v>
      </c>
    </row>
    <row r="198" customHeight="1" spans="1:10">
      <c r="A198" s="50" t="s">
        <v>328</v>
      </c>
      <c r="B198" s="57" t="s">
        <v>353</v>
      </c>
      <c r="C198" s="58" t="s">
        <v>354</v>
      </c>
      <c r="D198" s="19" t="s">
        <v>387</v>
      </c>
      <c r="E198" s="20">
        <v>621</v>
      </c>
      <c r="F198" s="19" t="s">
        <v>11</v>
      </c>
      <c r="G198" s="19">
        <v>1300</v>
      </c>
      <c r="H198" s="19"/>
      <c r="I198" s="19"/>
      <c r="J198" s="23">
        <f t="shared" si="17"/>
        <v>1300</v>
      </c>
    </row>
    <row r="199" customHeight="1" spans="1:10">
      <c r="A199" s="50" t="s">
        <v>388</v>
      </c>
      <c r="B199" s="57" t="s">
        <v>353</v>
      </c>
      <c r="C199" s="58" t="s">
        <v>354</v>
      </c>
      <c r="D199" s="19" t="s">
        <v>389</v>
      </c>
      <c r="E199" s="20">
        <v>622</v>
      </c>
      <c r="F199" s="19" t="s">
        <v>11</v>
      </c>
      <c r="G199" s="19">
        <v>1300</v>
      </c>
      <c r="H199" s="19"/>
      <c r="I199" s="19"/>
      <c r="J199" s="23">
        <f t="shared" si="17"/>
        <v>1300</v>
      </c>
    </row>
    <row r="200" customHeight="1" spans="1:10">
      <c r="A200" s="50" t="s">
        <v>390</v>
      </c>
      <c r="B200" s="57" t="s">
        <v>353</v>
      </c>
      <c r="C200" s="58" t="s">
        <v>354</v>
      </c>
      <c r="D200" s="19" t="s">
        <v>391</v>
      </c>
      <c r="E200" s="20">
        <v>623</v>
      </c>
      <c r="F200" s="19" t="s">
        <v>11</v>
      </c>
      <c r="G200" s="19">
        <v>1500</v>
      </c>
      <c r="H200" s="19"/>
      <c r="I200" s="19"/>
      <c r="J200" s="23">
        <f t="shared" si="17"/>
        <v>1500</v>
      </c>
    </row>
    <row r="201" customHeight="1" spans="1:10">
      <c r="A201" s="50" t="s">
        <v>392</v>
      </c>
      <c r="B201" s="57" t="s">
        <v>353</v>
      </c>
      <c r="C201" s="58" t="s">
        <v>354</v>
      </c>
      <c r="D201" s="19" t="s">
        <v>393</v>
      </c>
      <c r="E201" s="20">
        <v>624</v>
      </c>
      <c r="F201" s="19" t="s">
        <v>11</v>
      </c>
      <c r="G201" s="19">
        <v>1500</v>
      </c>
      <c r="H201" s="19"/>
      <c r="I201" s="19"/>
      <c r="J201" s="23">
        <f t="shared" si="17"/>
        <v>1500</v>
      </c>
    </row>
    <row r="202" customHeight="1" spans="1:10">
      <c r="A202" s="50" t="s">
        <v>394</v>
      </c>
      <c r="C202" s="58" t="s">
        <v>354</v>
      </c>
      <c r="D202" s="19" t="s">
        <v>393</v>
      </c>
      <c r="E202" s="20">
        <v>624</v>
      </c>
      <c r="F202" s="19" t="s">
        <v>11</v>
      </c>
      <c r="G202" s="19">
        <v>1300</v>
      </c>
      <c r="H202" s="19"/>
      <c r="I202" s="19"/>
      <c r="J202" s="23">
        <f t="shared" ref="J202:J203" si="18">G202+H202-I202</f>
        <v>1300</v>
      </c>
    </row>
    <row r="203" customHeight="1" spans="1:10">
      <c r="A203" s="50" t="s">
        <v>396</v>
      </c>
      <c r="B203" s="61"/>
      <c r="C203" s="58" t="s">
        <v>354</v>
      </c>
      <c r="D203" s="28" t="s">
        <v>393</v>
      </c>
      <c r="E203" s="29">
        <v>624</v>
      </c>
      <c r="F203" s="28" t="s">
        <v>11</v>
      </c>
      <c r="G203" s="28">
        <v>2500</v>
      </c>
      <c r="H203" s="28"/>
      <c r="I203" s="28"/>
      <c r="J203" s="63">
        <f t="shared" si="18"/>
        <v>2500</v>
      </c>
    </row>
    <row r="204" customHeight="1" spans="1:10">
      <c r="A204" s="62" t="s">
        <v>398</v>
      </c>
      <c r="B204" s="61"/>
      <c r="C204" s="58" t="s">
        <v>354</v>
      </c>
      <c r="D204" s="28" t="s">
        <v>400</v>
      </c>
      <c r="E204" s="29">
        <v>625</v>
      </c>
      <c r="F204" s="28" t="s">
        <v>11</v>
      </c>
      <c r="G204" s="28">
        <v>2000</v>
      </c>
      <c r="H204" s="28"/>
      <c r="I204" s="28"/>
      <c r="J204" s="63">
        <f t="shared" ref="J204" si="19">G204+H204-I204</f>
        <v>2000</v>
      </c>
    </row>
    <row r="205" customHeight="1" spans="1:10">
      <c r="A205" s="59"/>
      <c r="B205" s="59"/>
      <c r="C205" s="59"/>
      <c r="D205" s="59"/>
      <c r="E205" s="59"/>
      <c r="F205" s="59"/>
      <c r="G205" s="59"/>
      <c r="H205" s="54"/>
      <c r="I205" s="59"/>
      <c r="J205" s="59"/>
    </row>
    <row r="206" customHeight="1" spans="1:10">
      <c r="A206" s="59"/>
      <c r="B206" s="59"/>
      <c r="C206" s="59"/>
      <c r="D206" s="59"/>
      <c r="E206" s="59"/>
      <c r="F206" s="59"/>
      <c r="G206" s="59"/>
      <c r="H206" s="54"/>
      <c r="I206" s="59"/>
      <c r="J206" s="59"/>
    </row>
    <row r="207" customHeight="1" spans="1:10">
      <c r="A207" s="59"/>
      <c r="B207" s="59"/>
      <c r="C207" s="59"/>
      <c r="D207" s="59"/>
      <c r="E207" s="59"/>
      <c r="F207" s="59"/>
      <c r="G207" s="59"/>
      <c r="H207" s="54"/>
      <c r="I207" s="59"/>
      <c r="J207" s="59"/>
    </row>
    <row r="208" customHeight="1" spans="1:10">
      <c r="A208" s="59"/>
      <c r="B208" s="59"/>
      <c r="C208" s="59"/>
      <c r="D208" s="59"/>
      <c r="E208" s="59"/>
      <c r="F208" s="59"/>
      <c r="G208" s="59"/>
      <c r="H208" s="54"/>
      <c r="I208" s="59"/>
      <c r="J208" s="59"/>
    </row>
    <row r="209" customHeight="1" spans="1:10">
      <c r="A209" s="59"/>
      <c r="B209" s="59"/>
      <c r="C209" s="59"/>
      <c r="D209" s="59"/>
      <c r="E209" s="59"/>
      <c r="F209" s="59"/>
      <c r="G209" s="59"/>
      <c r="H209" s="54"/>
      <c r="I209" s="59"/>
      <c r="J209" s="59"/>
    </row>
    <row r="210" customHeight="1" spans="1:10">
      <c r="A210" s="59"/>
      <c r="B210" s="59"/>
      <c r="C210" s="59"/>
      <c r="D210" s="59"/>
      <c r="E210" s="59"/>
      <c r="F210" s="59"/>
      <c r="G210" s="59"/>
      <c r="H210" s="54"/>
      <c r="I210" s="59"/>
      <c r="J210" s="59"/>
    </row>
    <row r="211" customHeight="1" spans="1:10">
      <c r="A211" s="59"/>
      <c r="B211" s="59"/>
      <c r="C211" s="59"/>
      <c r="D211" s="59"/>
      <c r="E211" s="59"/>
      <c r="F211" s="59"/>
      <c r="G211" s="59"/>
      <c r="H211" s="54"/>
      <c r="I211" s="59"/>
      <c r="J211" s="59"/>
    </row>
    <row r="212" customHeight="1" spans="1:10">
      <c r="A212" s="59"/>
      <c r="B212" s="59"/>
      <c r="C212" s="59"/>
      <c r="D212" s="59"/>
      <c r="E212" s="59"/>
      <c r="F212" s="59"/>
      <c r="G212" s="59"/>
      <c r="H212" s="54"/>
      <c r="I212" s="59"/>
      <c r="J212" s="59"/>
    </row>
    <row r="213" customHeight="1" spans="1:10">
      <c r="A213" s="59"/>
      <c r="B213" s="59"/>
      <c r="C213" s="59"/>
      <c r="D213" s="59"/>
      <c r="E213" s="59"/>
      <c r="F213" s="59"/>
      <c r="G213" s="59"/>
      <c r="H213" s="54"/>
      <c r="I213" s="59"/>
      <c r="J213" s="59"/>
    </row>
    <row r="214" customHeight="1" spans="1:10">
      <c r="A214" s="59"/>
      <c r="B214" s="59"/>
      <c r="C214" s="59"/>
      <c r="D214" s="59"/>
      <c r="E214" s="59"/>
      <c r="F214" s="59"/>
      <c r="G214" s="59"/>
      <c r="H214" s="54"/>
      <c r="I214" s="59"/>
      <c r="J214" s="59"/>
    </row>
    <row r="215" customHeight="1" spans="1:10">
      <c r="A215" s="59"/>
      <c r="B215" s="59"/>
      <c r="C215" s="59"/>
      <c r="D215" s="59"/>
      <c r="E215" s="59"/>
      <c r="F215" s="59"/>
      <c r="G215" s="59"/>
      <c r="H215" s="54"/>
      <c r="I215" s="59"/>
      <c r="J215" s="59"/>
    </row>
    <row r="216" customHeight="1" spans="1:10">
      <c r="A216" s="59"/>
      <c r="B216" s="59"/>
      <c r="C216" s="59"/>
      <c r="D216" s="59"/>
      <c r="E216" s="59"/>
      <c r="F216" s="59"/>
      <c r="G216" s="59"/>
      <c r="H216" s="54"/>
      <c r="I216" s="59"/>
      <c r="J216" s="59"/>
    </row>
    <row r="217" customHeight="1" spans="1:10">
      <c r="A217" s="59"/>
      <c r="B217" s="59"/>
      <c r="C217" s="59"/>
      <c r="D217" s="59"/>
      <c r="E217" s="59"/>
      <c r="F217" s="59"/>
      <c r="G217" s="59"/>
      <c r="H217" s="54"/>
      <c r="I217" s="59"/>
      <c r="J217" s="59"/>
    </row>
    <row r="218" customHeight="1" spans="1:10">
      <c r="A218" s="59"/>
      <c r="B218" s="59"/>
      <c r="C218" s="59"/>
      <c r="D218" s="59"/>
      <c r="E218" s="59"/>
      <c r="F218" s="59"/>
      <c r="G218" s="59"/>
      <c r="H218" s="54"/>
      <c r="I218" s="59"/>
      <c r="J218" s="59"/>
    </row>
    <row r="219" customHeight="1" spans="1:10">
      <c r="A219" s="59"/>
      <c r="B219" s="59"/>
      <c r="C219" s="59"/>
      <c r="D219" s="59"/>
      <c r="E219" s="59"/>
      <c r="F219" s="59"/>
      <c r="G219" s="59"/>
      <c r="H219" s="54"/>
      <c r="I219" s="59"/>
      <c r="J219" s="59"/>
    </row>
    <row r="220" customHeight="1" spans="1:10">
      <c r="A220" s="59"/>
      <c r="B220" s="59"/>
      <c r="C220" s="59"/>
      <c r="D220" s="59"/>
      <c r="E220" s="59"/>
      <c r="F220" s="59"/>
      <c r="G220" s="59"/>
      <c r="H220" s="54"/>
      <c r="I220" s="59"/>
      <c r="J220" s="59"/>
    </row>
    <row r="221" customHeight="1" spans="1:10">
      <c r="A221" s="59"/>
      <c r="B221" s="59"/>
      <c r="C221" s="59"/>
      <c r="D221" s="59"/>
      <c r="E221" s="59"/>
      <c r="F221" s="59"/>
      <c r="G221" s="59"/>
      <c r="H221" s="54"/>
      <c r="I221" s="59"/>
      <c r="J221" s="59"/>
    </row>
    <row r="222" customHeight="1" spans="1:10">
      <c r="A222" s="59"/>
      <c r="B222" s="59"/>
      <c r="C222" s="59"/>
      <c r="D222" s="59"/>
      <c r="E222" s="59"/>
      <c r="F222" s="59"/>
      <c r="G222" s="59"/>
      <c r="H222" s="54"/>
      <c r="I222" s="59"/>
      <c r="J222" s="59"/>
    </row>
    <row r="223" customHeight="1" spans="1:10">
      <c r="A223" s="59"/>
      <c r="B223" s="59"/>
      <c r="C223" s="59"/>
      <c r="D223" s="59"/>
      <c r="E223" s="59"/>
      <c r="F223" s="59"/>
      <c r="G223" s="59"/>
      <c r="H223" s="54"/>
      <c r="I223" s="59"/>
      <c r="J223" s="59"/>
    </row>
    <row r="224" customHeight="1" spans="1:10">
      <c r="A224" s="59"/>
      <c r="B224" s="59"/>
      <c r="C224" s="59"/>
      <c r="D224" s="59"/>
      <c r="E224" s="59"/>
      <c r="F224" s="59"/>
      <c r="G224" s="59"/>
      <c r="H224" s="54"/>
      <c r="I224" s="59"/>
      <c r="J224" s="59"/>
    </row>
    <row r="225" customHeight="1" spans="1:10">
      <c r="A225" s="59"/>
      <c r="B225" s="59"/>
      <c r="C225" s="59"/>
      <c r="D225" s="59"/>
      <c r="E225" s="59"/>
      <c r="F225" s="59"/>
      <c r="G225" s="59"/>
      <c r="H225" s="54"/>
      <c r="I225" s="59"/>
      <c r="J225" s="59"/>
    </row>
    <row r="226" customHeight="1" spans="1:10">
      <c r="A226" s="59"/>
      <c r="B226" s="59"/>
      <c r="C226" s="59"/>
      <c r="D226" s="59"/>
      <c r="E226" s="59"/>
      <c r="F226" s="59"/>
      <c r="G226" s="59"/>
      <c r="H226" s="54"/>
      <c r="I226" s="59"/>
      <c r="J226" s="59"/>
    </row>
    <row r="227" customHeight="1" spans="1:10">
      <c r="A227" s="59"/>
      <c r="B227" s="59"/>
      <c r="C227" s="59"/>
      <c r="D227" s="59"/>
      <c r="E227" s="59"/>
      <c r="F227" s="59"/>
      <c r="G227" s="59"/>
      <c r="H227" s="54"/>
      <c r="I227" s="59"/>
      <c r="J227" s="59"/>
    </row>
    <row r="228" customHeight="1" spans="1:10">
      <c r="A228" s="59"/>
      <c r="B228" s="59"/>
      <c r="C228" s="59"/>
      <c r="D228" s="59"/>
      <c r="E228" s="59"/>
      <c r="F228" s="59"/>
      <c r="G228" s="59"/>
      <c r="H228" s="54"/>
      <c r="I228" s="59"/>
      <c r="J228" s="59"/>
    </row>
    <row r="229" customHeight="1" spans="1:10">
      <c r="A229" s="59"/>
      <c r="B229" s="59"/>
      <c r="C229" s="59"/>
      <c r="D229" s="59"/>
      <c r="E229" s="59"/>
      <c r="F229" s="59"/>
      <c r="G229" s="59"/>
      <c r="H229" s="54"/>
      <c r="I229" s="59"/>
      <c r="J229" s="59"/>
    </row>
    <row r="230" customHeight="1" spans="1:10">
      <c r="A230" s="59"/>
      <c r="B230" s="59"/>
      <c r="C230" s="59"/>
      <c r="D230" s="59"/>
      <c r="E230" s="59"/>
      <c r="F230" s="59"/>
      <c r="G230" s="59"/>
      <c r="H230" s="54"/>
      <c r="I230" s="59"/>
      <c r="J230" s="59"/>
    </row>
    <row r="231" customHeight="1" spans="1:10">
      <c r="A231" s="59"/>
      <c r="B231" s="59"/>
      <c r="C231" s="59"/>
      <c r="D231" s="59"/>
      <c r="E231" s="59"/>
      <c r="F231" s="59"/>
      <c r="G231" s="59"/>
      <c r="H231" s="54"/>
      <c r="I231" s="59"/>
      <c r="J231" s="59"/>
    </row>
    <row r="232" customHeight="1" spans="1:10">
      <c r="A232" s="59"/>
      <c r="B232" s="59"/>
      <c r="C232" s="59"/>
      <c r="D232" s="59"/>
      <c r="E232" s="59"/>
      <c r="F232" s="59"/>
      <c r="G232" s="59"/>
      <c r="H232" s="54"/>
      <c r="I232" s="59"/>
      <c r="J232" s="59"/>
    </row>
    <row r="233" customHeight="1" spans="1:10">
      <c r="A233" s="59"/>
      <c r="B233" s="59"/>
      <c r="C233" s="59"/>
      <c r="D233" s="59"/>
      <c r="E233" s="59"/>
      <c r="F233" s="59"/>
      <c r="G233" s="59"/>
      <c r="H233" s="54"/>
      <c r="I233" s="59"/>
      <c r="J233" s="59"/>
    </row>
    <row r="234" customHeight="1" spans="1:10">
      <c r="A234" s="59"/>
      <c r="B234" s="59"/>
      <c r="C234" s="59"/>
      <c r="D234" s="59"/>
      <c r="E234" s="59"/>
      <c r="F234" s="59"/>
      <c r="G234" s="59"/>
      <c r="H234" s="54"/>
      <c r="I234" s="59"/>
      <c r="J234" s="59"/>
    </row>
    <row r="235" customHeight="1" spans="1:10">
      <c r="A235" s="59"/>
      <c r="B235" s="59"/>
      <c r="C235" s="59"/>
      <c r="D235" s="59"/>
      <c r="E235" s="59"/>
      <c r="F235" s="59"/>
      <c r="G235" s="59"/>
      <c r="H235" s="54"/>
      <c r="I235" s="59"/>
      <c r="J235" s="59"/>
    </row>
    <row r="236" customHeight="1" spans="1:10">
      <c r="A236" s="59"/>
      <c r="B236" s="59"/>
      <c r="C236" s="59"/>
      <c r="D236" s="59"/>
      <c r="E236" s="59"/>
      <c r="F236" s="59"/>
      <c r="G236" s="59"/>
      <c r="H236" s="54"/>
      <c r="I236" s="59"/>
      <c r="J236" s="59"/>
    </row>
    <row r="237" customHeight="1" spans="1:10">
      <c r="A237" s="59"/>
      <c r="B237" s="59"/>
      <c r="C237" s="59"/>
      <c r="D237" s="59"/>
      <c r="E237" s="59"/>
      <c r="F237" s="59"/>
      <c r="G237" s="59"/>
      <c r="H237" s="54"/>
      <c r="I237" s="59"/>
      <c r="J237" s="59"/>
    </row>
    <row r="238" customHeight="1" spans="1:10">
      <c r="A238" s="59"/>
      <c r="B238" s="59"/>
      <c r="C238" s="59"/>
      <c r="D238" s="59"/>
      <c r="E238" s="59"/>
      <c r="F238" s="59"/>
      <c r="G238" s="59"/>
      <c r="H238" s="54"/>
      <c r="I238" s="59"/>
      <c r="J238" s="59"/>
    </row>
    <row r="239" customHeight="1" spans="1:10">
      <c r="A239" s="59"/>
      <c r="B239" s="59"/>
      <c r="C239" s="59"/>
      <c r="D239" s="59"/>
      <c r="E239" s="59"/>
      <c r="F239" s="59"/>
      <c r="G239" s="59"/>
      <c r="H239" s="54"/>
      <c r="I239" s="59"/>
      <c r="J239" s="59"/>
    </row>
    <row r="240" customHeight="1" spans="1:10">
      <c r="A240" s="59"/>
      <c r="B240" s="59"/>
      <c r="C240" s="59"/>
      <c r="D240" s="59"/>
      <c r="E240" s="59"/>
      <c r="F240" s="59"/>
      <c r="G240" s="59"/>
      <c r="H240" s="54"/>
      <c r="I240" s="59"/>
      <c r="J240" s="59"/>
    </row>
    <row r="241" customHeight="1" spans="1:10">
      <c r="A241" s="59"/>
      <c r="B241" s="59"/>
      <c r="C241" s="59"/>
      <c r="D241" s="59"/>
      <c r="E241" s="59"/>
      <c r="F241" s="59"/>
      <c r="G241" s="59"/>
      <c r="H241" s="54"/>
      <c r="I241" s="59"/>
      <c r="J241" s="59"/>
    </row>
    <row r="242" customHeight="1" spans="1:10">
      <c r="A242" s="59"/>
      <c r="B242" s="59"/>
      <c r="C242" s="59"/>
      <c r="D242" s="59"/>
      <c r="E242" s="59"/>
      <c r="F242" s="59"/>
      <c r="G242" s="59"/>
      <c r="H242" s="54"/>
      <c r="I242" s="59"/>
      <c r="J242" s="59"/>
    </row>
    <row r="243" customHeight="1" spans="1:10">
      <c r="A243" s="59"/>
      <c r="B243" s="59"/>
      <c r="C243" s="59"/>
      <c r="D243" s="59"/>
      <c r="E243" s="59"/>
      <c r="F243" s="59"/>
      <c r="G243" s="59"/>
      <c r="H243" s="54"/>
      <c r="I243" s="59"/>
      <c r="J243" s="59"/>
    </row>
    <row r="244" customHeight="1" spans="1:10">
      <c r="A244" s="59"/>
      <c r="B244" s="59"/>
      <c r="C244" s="59"/>
      <c r="D244" s="59"/>
      <c r="E244" s="59"/>
      <c r="F244" s="59"/>
      <c r="G244" s="59"/>
      <c r="H244" s="54"/>
      <c r="I244" s="59"/>
      <c r="J244" s="59"/>
    </row>
    <row r="245" customHeight="1" spans="1:10">
      <c r="A245" s="59"/>
      <c r="B245" s="59"/>
      <c r="C245" s="59"/>
      <c r="D245" s="59"/>
      <c r="E245" s="59"/>
      <c r="F245" s="59"/>
      <c r="G245" s="59"/>
      <c r="H245" s="54"/>
      <c r="I245" s="59"/>
      <c r="J245" s="59"/>
    </row>
    <row r="246" customHeight="1" spans="1:10">
      <c r="A246" s="59"/>
      <c r="B246" s="59"/>
      <c r="C246" s="59"/>
      <c r="D246" s="59"/>
      <c r="E246" s="59"/>
      <c r="F246" s="59"/>
      <c r="G246" s="59"/>
      <c r="H246" s="54"/>
      <c r="I246" s="59"/>
      <c r="J246" s="59"/>
    </row>
    <row r="247" customHeight="1" spans="1:10">
      <c r="A247" s="59"/>
      <c r="B247" s="59"/>
      <c r="C247" s="59"/>
      <c r="D247" s="59"/>
      <c r="E247" s="59"/>
      <c r="F247" s="59"/>
      <c r="G247" s="59"/>
      <c r="H247" s="54"/>
      <c r="I247" s="59"/>
      <c r="J247" s="59"/>
    </row>
    <row r="248" customHeight="1" spans="1:10">
      <c r="A248" s="59"/>
      <c r="B248" s="59"/>
      <c r="C248" s="59"/>
      <c r="D248" s="59"/>
      <c r="E248" s="59"/>
      <c r="F248" s="59"/>
      <c r="G248" s="59"/>
      <c r="H248" s="54"/>
      <c r="I248" s="59"/>
      <c r="J248" s="59"/>
    </row>
    <row r="249" customHeight="1" spans="1:10">
      <c r="A249" s="59"/>
      <c r="B249" s="59"/>
      <c r="C249" s="59"/>
      <c r="D249" s="59"/>
      <c r="E249" s="59"/>
      <c r="F249" s="59"/>
      <c r="G249" s="59"/>
      <c r="H249" s="54"/>
      <c r="I249" s="59"/>
      <c r="J249" s="59"/>
    </row>
    <row r="250" customHeight="1" spans="1:10">
      <c r="A250" s="59"/>
      <c r="B250" s="59"/>
      <c r="C250" s="59"/>
      <c r="D250" s="59"/>
      <c r="E250" s="59"/>
      <c r="F250" s="59"/>
      <c r="G250" s="59"/>
      <c r="H250" s="54"/>
      <c r="I250" s="59"/>
      <c r="J250" s="59"/>
    </row>
    <row r="251" customHeight="1" spans="1:10">
      <c r="A251" s="59"/>
      <c r="B251" s="59"/>
      <c r="C251" s="59"/>
      <c r="D251" s="59"/>
      <c r="E251" s="59"/>
      <c r="F251" s="59"/>
      <c r="G251" s="59"/>
      <c r="H251" s="54"/>
      <c r="I251" s="59"/>
      <c r="J251" s="59"/>
    </row>
    <row r="252" customHeight="1" spans="1:10">
      <c r="A252" s="59"/>
      <c r="B252" s="59"/>
      <c r="C252" s="59"/>
      <c r="D252" s="59"/>
      <c r="E252" s="59"/>
      <c r="F252" s="59"/>
      <c r="G252" s="59"/>
      <c r="H252" s="54"/>
      <c r="I252" s="59"/>
      <c r="J252" s="59"/>
    </row>
    <row r="253" customHeight="1" spans="1:10">
      <c r="A253" s="59"/>
      <c r="B253" s="59"/>
      <c r="C253" s="59"/>
      <c r="D253" s="59"/>
      <c r="E253" s="59"/>
      <c r="F253" s="59"/>
      <c r="G253" s="59"/>
      <c r="H253" s="54"/>
      <c r="I253" s="59"/>
      <c r="J253" s="59"/>
    </row>
    <row r="254" customHeight="1" spans="1:10">
      <c r="A254" s="59"/>
      <c r="B254" s="59"/>
      <c r="C254" s="59"/>
      <c r="D254" s="59"/>
      <c r="E254" s="59"/>
      <c r="F254" s="59"/>
      <c r="G254" s="59"/>
      <c r="H254" s="54"/>
      <c r="I254" s="59"/>
      <c r="J254" s="59"/>
    </row>
    <row r="255" customHeight="1" spans="1:10">
      <c r="A255" s="59"/>
      <c r="B255" s="59"/>
      <c r="C255" s="59"/>
      <c r="D255" s="59"/>
      <c r="E255" s="59"/>
      <c r="F255" s="59"/>
      <c r="G255" s="59"/>
      <c r="H255" s="54"/>
      <c r="I255" s="59"/>
      <c r="J255" s="59"/>
    </row>
    <row r="256" customHeight="1" spans="1:10">
      <c r="A256" s="59"/>
      <c r="B256" s="59"/>
      <c r="C256" s="59"/>
      <c r="D256" s="59"/>
      <c r="E256" s="59"/>
      <c r="F256" s="59"/>
      <c r="G256" s="59"/>
      <c r="H256" s="54"/>
      <c r="I256" s="59"/>
      <c r="J256" s="59"/>
    </row>
    <row r="257" customHeight="1" spans="1:10">
      <c r="A257" s="59"/>
      <c r="B257" s="59"/>
      <c r="C257" s="59"/>
      <c r="D257" s="59"/>
      <c r="E257" s="59"/>
      <c r="F257" s="59"/>
      <c r="G257" s="59"/>
      <c r="H257" s="54"/>
      <c r="I257" s="59"/>
      <c r="J257" s="59"/>
    </row>
    <row r="258" customHeight="1" spans="1:10">
      <c r="A258" s="59"/>
      <c r="B258" s="59"/>
      <c r="C258" s="59"/>
      <c r="D258" s="59"/>
      <c r="E258" s="59"/>
      <c r="F258" s="59"/>
      <c r="G258" s="59"/>
      <c r="H258" s="54"/>
      <c r="I258" s="59"/>
      <c r="J258" s="59"/>
    </row>
    <row r="259" customHeight="1" spans="1:10">
      <c r="A259" s="59"/>
      <c r="B259" s="59"/>
      <c r="C259" s="59"/>
      <c r="D259" s="59"/>
      <c r="E259" s="59"/>
      <c r="F259" s="59"/>
      <c r="G259" s="59"/>
      <c r="H259" s="54"/>
      <c r="I259" s="59"/>
      <c r="J259" s="59"/>
    </row>
    <row r="260" customHeight="1" spans="1:10">
      <c r="A260" s="59"/>
      <c r="B260" s="59"/>
      <c r="C260" s="59"/>
      <c r="D260" s="59"/>
      <c r="E260" s="59"/>
      <c r="F260" s="59"/>
      <c r="G260" s="59"/>
      <c r="H260" s="54"/>
      <c r="I260" s="59"/>
      <c r="J260" s="59"/>
    </row>
    <row r="261" customHeight="1" spans="1:10">
      <c r="A261" s="59"/>
      <c r="B261" s="59"/>
      <c r="C261" s="59"/>
      <c r="D261" s="59"/>
      <c r="E261" s="59"/>
      <c r="F261" s="59"/>
      <c r="G261" s="59"/>
      <c r="H261" s="54"/>
      <c r="I261" s="59"/>
      <c r="J261" s="59"/>
    </row>
    <row r="262" customHeight="1" spans="1:10">
      <c r="A262" s="59"/>
      <c r="B262" s="59"/>
      <c r="C262" s="59"/>
      <c r="D262" s="59"/>
      <c r="E262" s="59"/>
      <c r="F262" s="59"/>
      <c r="G262" s="59"/>
      <c r="H262" s="54"/>
      <c r="I262" s="59"/>
      <c r="J262" s="59"/>
    </row>
    <row r="263" customHeight="1" spans="8:8">
      <c r="H263" s="33"/>
    </row>
    <row r="264" customHeight="1" spans="8:8">
      <c r="H264" s="33"/>
    </row>
    <row r="265" customHeight="1" spans="8:8">
      <c r="H265" s="33"/>
    </row>
    <row r="266" customHeight="1" spans="8:8">
      <c r="H266" s="33"/>
    </row>
    <row r="267" customHeight="1" spans="8:8">
      <c r="H267" s="33"/>
    </row>
    <row r="268" customHeight="1" spans="8:8">
      <c r="H268" s="33"/>
    </row>
    <row r="269" customHeight="1" spans="8:8">
      <c r="H269" s="33"/>
    </row>
    <row r="270" customHeight="1" spans="8:8">
      <c r="H270" s="33"/>
    </row>
    <row r="271" customHeight="1" spans="8:8">
      <c r="H271" s="33"/>
    </row>
    <row r="272" customHeight="1" spans="8:8">
      <c r="H272" s="33"/>
    </row>
    <row r="273" customHeight="1" spans="8:8">
      <c r="H273" s="33"/>
    </row>
    <row r="274" customHeight="1" spans="8:8">
      <c r="H274" s="33"/>
    </row>
    <row r="275" customHeight="1" spans="8:8">
      <c r="H275" s="33"/>
    </row>
    <row r="276" customHeight="1" spans="8:8">
      <c r="H276" s="33"/>
    </row>
    <row r="277" customHeight="1" spans="8:8">
      <c r="H277" s="33"/>
    </row>
    <row r="278" customHeight="1" spans="8:8">
      <c r="H278" s="33"/>
    </row>
    <row r="279" customHeight="1" spans="8:8">
      <c r="H279" s="33"/>
    </row>
    <row r="280" customHeight="1" spans="8:8">
      <c r="H280" s="33"/>
    </row>
    <row r="281" customHeight="1" spans="8:8">
      <c r="H281" s="33"/>
    </row>
    <row r="282" customHeight="1" spans="8:8">
      <c r="H282" s="33"/>
    </row>
    <row r="283" customHeight="1" spans="8:8">
      <c r="H283" s="33"/>
    </row>
    <row r="284" customHeight="1" spans="8:8">
      <c r="H284" s="33"/>
    </row>
    <row r="285" customHeight="1" spans="8:8">
      <c r="H285" s="33"/>
    </row>
    <row r="286" customHeight="1" spans="8:8">
      <c r="H286" s="33"/>
    </row>
    <row r="287" customHeight="1" spans="8:8">
      <c r="H287" s="33"/>
    </row>
    <row r="288" customHeight="1" spans="8:8">
      <c r="H288" s="33"/>
    </row>
    <row r="289" customHeight="1" spans="8:8">
      <c r="H289" s="33"/>
    </row>
    <row r="290" customHeight="1" spans="8:8">
      <c r="H290" s="33"/>
    </row>
    <row r="291" customHeight="1" spans="8:8">
      <c r="H291" s="33"/>
    </row>
    <row r="292" customHeight="1" spans="8:8">
      <c r="H292" s="33"/>
    </row>
    <row r="293" customHeight="1" spans="8:8">
      <c r="H293" s="33"/>
    </row>
    <row r="294" customHeight="1" spans="8:8">
      <c r="H294" s="33"/>
    </row>
    <row r="295" customHeight="1" spans="8:8">
      <c r="H295" s="33"/>
    </row>
    <row r="296" customHeight="1" spans="8:8">
      <c r="H296" s="33"/>
    </row>
    <row r="297" customHeight="1" spans="8:8">
      <c r="H297" s="33"/>
    </row>
    <row r="298" customHeight="1" spans="8:8">
      <c r="H298" s="33"/>
    </row>
    <row r="299" customHeight="1" spans="8:8">
      <c r="H299" s="33"/>
    </row>
    <row r="300" customHeight="1" spans="8:8">
      <c r="H300" s="33"/>
    </row>
    <row r="301" customHeight="1" spans="8:8">
      <c r="H301" s="33"/>
    </row>
    <row r="302" customHeight="1" spans="8:8">
      <c r="H302" s="33"/>
    </row>
    <row r="303" customHeight="1" spans="8:8">
      <c r="H303" s="33"/>
    </row>
    <row r="304" customHeight="1" spans="8:8">
      <c r="H304" s="33"/>
    </row>
    <row r="305" customHeight="1" spans="8:8">
      <c r="H305" s="33"/>
    </row>
    <row r="306" customHeight="1" spans="8:8">
      <c r="H306" s="33"/>
    </row>
    <row r="307" customHeight="1" spans="8:8">
      <c r="H307" s="33"/>
    </row>
    <row r="308" customHeight="1" spans="8:8">
      <c r="H308" s="33"/>
    </row>
    <row r="309" customHeight="1" spans="8:8">
      <c r="H309" s="33"/>
    </row>
    <row r="310" customHeight="1" spans="8:8">
      <c r="H310" s="33"/>
    </row>
    <row r="311" customHeight="1" spans="8:8">
      <c r="H311" s="33"/>
    </row>
    <row r="312" customHeight="1" spans="8:8">
      <c r="H312" s="33"/>
    </row>
    <row r="313" customHeight="1" spans="8:8">
      <c r="H313" s="33"/>
    </row>
    <row r="314" customHeight="1" spans="8:8">
      <c r="H314" s="33"/>
    </row>
    <row r="315" customHeight="1" spans="8:8">
      <c r="H315" s="33"/>
    </row>
    <row r="316" customHeight="1" spans="8:8">
      <c r="H316" s="33"/>
    </row>
    <row r="317" customHeight="1" spans="8:8">
      <c r="H317" s="33"/>
    </row>
    <row r="318" customHeight="1" spans="8:8">
      <c r="H318" s="33"/>
    </row>
    <row r="319" customHeight="1" spans="8:8">
      <c r="H319" s="33"/>
    </row>
    <row r="320" customHeight="1" spans="8:8">
      <c r="H320" s="33"/>
    </row>
    <row r="321" customHeight="1" spans="8:8">
      <c r="H321" s="33"/>
    </row>
    <row r="322" customHeight="1" spans="8:8">
      <c r="H322" s="33"/>
    </row>
    <row r="323" customHeight="1" spans="8:8">
      <c r="H323" s="33"/>
    </row>
    <row r="324" customHeight="1" spans="8:8">
      <c r="H324" s="33"/>
    </row>
    <row r="325" customHeight="1" spans="8:8">
      <c r="H325" s="33"/>
    </row>
    <row r="326" customHeight="1" spans="8:8">
      <c r="H326" s="33"/>
    </row>
    <row r="327" customHeight="1" spans="8:8">
      <c r="H327" s="33"/>
    </row>
    <row r="328" customHeight="1" spans="8:8">
      <c r="H328" s="33"/>
    </row>
    <row r="329" customHeight="1" spans="8:8">
      <c r="H329" s="33"/>
    </row>
    <row r="330" customHeight="1" spans="8:8">
      <c r="H330" s="33"/>
    </row>
    <row r="331" customHeight="1" spans="8:8">
      <c r="H331" s="33"/>
    </row>
    <row r="332" customHeight="1" spans="8:8">
      <c r="H332" s="33"/>
    </row>
    <row r="333" customHeight="1" spans="8:8">
      <c r="H333" s="33"/>
    </row>
    <row r="334" customHeight="1" spans="8:8">
      <c r="H334" s="33"/>
    </row>
    <row r="335" customHeight="1" spans="8:8">
      <c r="H335" s="33"/>
    </row>
    <row r="336" customHeight="1" spans="8:8">
      <c r="H336" s="33"/>
    </row>
    <row r="337" customHeight="1" spans="8:8">
      <c r="H337" s="33"/>
    </row>
    <row r="338" customHeight="1" spans="8:8">
      <c r="H338" s="33"/>
    </row>
    <row r="339" customHeight="1" spans="8:8">
      <c r="H339" s="33"/>
    </row>
    <row r="340" customHeight="1" spans="8:8">
      <c r="H340" s="33"/>
    </row>
    <row r="341" customHeight="1" spans="8:8">
      <c r="H341" s="33"/>
    </row>
    <row r="342" customHeight="1" spans="8:8">
      <c r="H342" s="33"/>
    </row>
    <row r="343" customHeight="1" spans="8:8">
      <c r="H343" s="33"/>
    </row>
    <row r="344" customHeight="1" spans="8:8">
      <c r="H344" s="33"/>
    </row>
    <row r="345" customHeight="1" spans="8:8">
      <c r="H345" s="33"/>
    </row>
    <row r="346" customHeight="1" spans="8:8">
      <c r="H346" s="33"/>
    </row>
    <row r="347" customHeight="1" spans="8:8">
      <c r="H347" s="33"/>
    </row>
    <row r="348" customHeight="1" spans="8:8">
      <c r="H348" s="33"/>
    </row>
    <row r="349" customHeight="1" spans="8:8">
      <c r="H349" s="33"/>
    </row>
    <row r="350" customHeight="1" spans="8:8">
      <c r="H350" s="33"/>
    </row>
    <row r="351" customHeight="1" spans="8:8">
      <c r="H351" s="33"/>
    </row>
    <row r="352" customHeight="1" spans="8:8">
      <c r="H352" s="33"/>
    </row>
    <row r="353" customHeight="1" spans="8:8">
      <c r="H353" s="33"/>
    </row>
    <row r="354" customHeight="1" spans="8:8">
      <c r="H354" s="33"/>
    </row>
    <row r="355" customHeight="1" spans="8:8">
      <c r="H355" s="33"/>
    </row>
    <row r="356" customHeight="1" spans="8:8">
      <c r="H356" s="33"/>
    </row>
    <row r="357" customHeight="1" spans="8:8">
      <c r="H357" s="33"/>
    </row>
    <row r="358" customHeight="1" spans="8:8">
      <c r="H358" s="33"/>
    </row>
    <row r="359" customHeight="1" spans="8:8">
      <c r="H359" s="33"/>
    </row>
    <row r="360" customHeight="1" spans="8:8">
      <c r="H360" s="33"/>
    </row>
    <row r="361" customHeight="1" spans="8:8">
      <c r="H361" s="33"/>
    </row>
    <row r="362" customHeight="1" spans="8:8">
      <c r="H362" s="33"/>
    </row>
    <row r="363" customHeight="1" spans="8:8">
      <c r="H363" s="33"/>
    </row>
    <row r="364" customHeight="1" spans="8:8">
      <c r="H364" s="33"/>
    </row>
    <row r="365" customHeight="1" spans="8:8">
      <c r="H365" s="33"/>
    </row>
    <row r="366" customHeight="1" spans="8:8">
      <c r="H366" s="33"/>
    </row>
    <row r="367" customHeight="1" spans="8:8">
      <c r="H367" s="33"/>
    </row>
    <row r="368" customHeight="1" spans="8:8">
      <c r="H368" s="33"/>
    </row>
    <row r="369" customHeight="1" spans="8:8">
      <c r="H369" s="33"/>
    </row>
    <row r="370" customHeight="1" spans="8:8">
      <c r="H370" s="33"/>
    </row>
    <row r="371" customHeight="1" spans="8:8">
      <c r="H371" s="33"/>
    </row>
    <row r="372" customHeight="1" spans="8:8">
      <c r="H372" s="33"/>
    </row>
    <row r="373" customHeight="1" spans="8:8">
      <c r="H373" s="33"/>
    </row>
    <row r="374" customHeight="1" spans="8:8">
      <c r="H374" s="33"/>
    </row>
    <row r="375" customHeight="1" spans="8:8">
      <c r="H375" s="33"/>
    </row>
    <row r="376" customHeight="1" spans="8:8">
      <c r="H376" s="33"/>
    </row>
    <row r="377" customHeight="1" spans="8:8">
      <c r="H377" s="33"/>
    </row>
    <row r="378" customHeight="1" spans="8:8">
      <c r="H378" s="33"/>
    </row>
    <row r="379" customHeight="1" spans="8:8">
      <c r="H379" s="33"/>
    </row>
    <row r="380" customHeight="1" spans="8:8">
      <c r="H380" s="33"/>
    </row>
    <row r="381" customHeight="1" spans="8:8">
      <c r="H381" s="33"/>
    </row>
    <row r="382" customHeight="1" spans="8:8">
      <c r="H382" s="33"/>
    </row>
    <row r="383" customHeight="1" spans="8:8">
      <c r="H383" s="33"/>
    </row>
    <row r="384" customHeight="1" spans="8:8">
      <c r="H384" s="33"/>
    </row>
    <row r="385" customHeight="1" spans="8:8">
      <c r="H385" s="33"/>
    </row>
    <row r="386" customHeight="1" spans="8:8">
      <c r="H386" s="33"/>
    </row>
    <row r="387" customHeight="1" spans="8:8">
      <c r="H387" s="33"/>
    </row>
    <row r="388" customHeight="1" spans="8:8">
      <c r="H388" s="33"/>
    </row>
    <row r="389" customHeight="1" spans="8:8">
      <c r="H389" s="33"/>
    </row>
    <row r="390" customHeight="1" spans="8:8">
      <c r="H390" s="33"/>
    </row>
    <row r="391" customHeight="1" spans="8:8">
      <c r="H391" s="33"/>
    </row>
    <row r="392" customHeight="1" spans="8:8">
      <c r="H392" s="33"/>
    </row>
    <row r="393" customHeight="1" spans="8:8">
      <c r="H393" s="33"/>
    </row>
    <row r="394" customHeight="1" spans="8:8">
      <c r="H394" s="33"/>
    </row>
    <row r="395" customHeight="1" spans="8:8">
      <c r="H395" s="33"/>
    </row>
    <row r="396" customHeight="1" spans="8:8">
      <c r="H396" s="33"/>
    </row>
    <row r="397" customHeight="1" spans="8:8">
      <c r="H397" s="33"/>
    </row>
    <row r="398" customHeight="1" spans="8:8">
      <c r="H398" s="33"/>
    </row>
    <row r="399" customHeight="1" spans="8:8">
      <c r="H399" s="33"/>
    </row>
    <row r="400" customHeight="1" spans="8:8">
      <c r="H400" s="33"/>
    </row>
    <row r="401" customHeight="1" spans="8:8">
      <c r="H401" s="33"/>
    </row>
    <row r="402" customHeight="1" spans="8:8">
      <c r="H402" s="33"/>
    </row>
    <row r="403" customHeight="1" spans="8:8">
      <c r="H403" s="33"/>
    </row>
    <row r="404" customHeight="1" spans="8:8">
      <c r="H404" s="33"/>
    </row>
    <row r="405" customHeight="1" spans="8:8">
      <c r="H405" s="33"/>
    </row>
    <row r="406" customHeight="1" spans="8:8">
      <c r="H406" s="33"/>
    </row>
    <row r="407" customHeight="1" spans="8:8">
      <c r="H407" s="33"/>
    </row>
    <row r="408" customHeight="1" spans="8:8">
      <c r="H408" s="33"/>
    </row>
    <row r="409" customHeight="1" spans="8:8">
      <c r="H409" s="33"/>
    </row>
    <row r="410" customHeight="1" spans="8:8">
      <c r="H410" s="33"/>
    </row>
    <row r="411" customHeight="1" spans="8:8">
      <c r="H411" s="33"/>
    </row>
    <row r="412" customHeight="1" spans="8:8">
      <c r="H412" s="33"/>
    </row>
    <row r="413" customHeight="1" spans="8:8">
      <c r="H413" s="33"/>
    </row>
    <row r="414" customHeight="1" spans="8:8">
      <c r="H414" s="33"/>
    </row>
    <row r="415" customHeight="1" spans="8:8">
      <c r="H415" s="33"/>
    </row>
    <row r="416" customHeight="1" spans="8:8">
      <c r="H416" s="33"/>
    </row>
    <row r="417" customHeight="1" spans="8:8">
      <c r="H417" s="33"/>
    </row>
    <row r="418" customHeight="1" spans="8:8">
      <c r="H418" s="33"/>
    </row>
    <row r="419" customHeight="1" spans="8:8">
      <c r="H419" s="33"/>
    </row>
    <row r="420" customHeight="1" spans="8:8">
      <c r="H420" s="33"/>
    </row>
    <row r="421" customHeight="1" spans="8:8">
      <c r="H421" s="33"/>
    </row>
    <row r="422" customHeight="1" spans="8:8">
      <c r="H422" s="33"/>
    </row>
    <row r="423" customHeight="1" spans="8:8">
      <c r="H423" s="33"/>
    </row>
    <row r="424" customHeight="1" spans="8:8">
      <c r="H424" s="33"/>
    </row>
    <row r="425" customHeight="1" spans="8:8">
      <c r="H425" s="33"/>
    </row>
    <row r="426" customHeight="1" spans="8:8">
      <c r="H426" s="33"/>
    </row>
    <row r="427" customHeight="1" spans="8:8">
      <c r="H427" s="33"/>
    </row>
    <row r="428" customHeight="1" spans="8:8">
      <c r="H428" s="33"/>
    </row>
    <row r="429" customHeight="1" spans="8:8">
      <c r="H429" s="33"/>
    </row>
    <row r="430" customHeight="1" spans="8:8">
      <c r="H430" s="33"/>
    </row>
    <row r="431" customHeight="1" spans="8:8">
      <c r="H431" s="33"/>
    </row>
    <row r="432" customHeight="1" spans="8:8">
      <c r="H432" s="33"/>
    </row>
    <row r="433" customHeight="1" spans="8:8">
      <c r="H433" s="33"/>
    </row>
    <row r="434" customHeight="1" spans="8:8">
      <c r="H434" s="33"/>
    </row>
    <row r="435" customHeight="1" spans="8:8">
      <c r="H435" s="33"/>
    </row>
    <row r="436" customHeight="1" spans="8:8">
      <c r="H436" s="33"/>
    </row>
    <row r="437" customHeight="1" spans="8:8">
      <c r="H437" s="33"/>
    </row>
    <row r="438" customHeight="1" spans="8:8">
      <c r="H438" s="33"/>
    </row>
    <row r="439" customHeight="1" spans="8:8">
      <c r="H439" s="33"/>
    </row>
    <row r="440" customHeight="1" spans="8:8">
      <c r="H440" s="33"/>
    </row>
    <row r="441" customHeight="1" spans="8:8">
      <c r="H441" s="33"/>
    </row>
    <row r="442" customHeight="1" spans="8:8">
      <c r="H442" s="33"/>
    </row>
    <row r="443" customHeight="1" spans="8:8">
      <c r="H443" s="33"/>
    </row>
    <row r="444" customHeight="1" spans="8:8">
      <c r="H444" s="33"/>
    </row>
    <row r="445" customHeight="1" spans="8:8">
      <c r="H445" s="33"/>
    </row>
    <row r="446" customHeight="1" spans="8:8">
      <c r="H446" s="33"/>
    </row>
    <row r="447" customHeight="1" spans="8:8">
      <c r="H447" s="33"/>
    </row>
    <row r="448" customHeight="1" spans="8:8">
      <c r="H448" s="33"/>
    </row>
    <row r="449" customHeight="1" spans="8:8">
      <c r="H449" s="33"/>
    </row>
    <row r="450" customHeight="1" spans="8:8">
      <c r="H450" s="33"/>
    </row>
    <row r="451" customHeight="1" spans="8:8">
      <c r="H451" s="33"/>
    </row>
    <row r="452" customHeight="1" spans="8:8">
      <c r="H452" s="33"/>
    </row>
    <row r="453" customHeight="1" spans="8:8">
      <c r="H453" s="33"/>
    </row>
    <row r="454" customHeight="1" spans="8:8">
      <c r="H454" s="33"/>
    </row>
    <row r="455" customHeight="1" spans="8:8">
      <c r="H455" s="33"/>
    </row>
    <row r="456" customHeight="1" spans="8:8">
      <c r="H456" s="33"/>
    </row>
    <row r="457" customHeight="1" spans="8:8">
      <c r="H457" s="33"/>
    </row>
    <row r="458" customHeight="1" spans="8:8">
      <c r="H458" s="33"/>
    </row>
    <row r="459" customHeight="1" spans="8:8">
      <c r="H459" s="33"/>
    </row>
    <row r="460" customHeight="1" spans="8:8">
      <c r="H460" s="33"/>
    </row>
    <row r="461" customHeight="1" spans="8:8">
      <c r="H461" s="33"/>
    </row>
    <row r="462" customHeight="1" spans="8:8">
      <c r="H462" s="33"/>
    </row>
    <row r="463" customHeight="1" spans="8:8">
      <c r="H463" s="33"/>
    </row>
    <row r="464" customHeight="1" spans="8:8">
      <c r="H464" s="33"/>
    </row>
    <row r="465" customHeight="1" spans="8:8">
      <c r="H465" s="33"/>
    </row>
    <row r="466" customHeight="1" spans="8:8">
      <c r="H466" s="33"/>
    </row>
    <row r="467" customHeight="1" spans="8:8">
      <c r="H467" s="33"/>
    </row>
    <row r="468" customHeight="1" spans="8:8">
      <c r="H468" s="33"/>
    </row>
    <row r="469" customHeight="1" spans="8:8">
      <c r="H469" s="33"/>
    </row>
    <row r="470" customHeight="1" spans="8:8">
      <c r="H470" s="33"/>
    </row>
    <row r="471" customHeight="1" spans="8:8">
      <c r="H471" s="33"/>
    </row>
    <row r="472" customHeight="1" spans="8:8">
      <c r="H472" s="33"/>
    </row>
    <row r="473" customHeight="1" spans="8:8">
      <c r="H473" s="33"/>
    </row>
    <row r="474" customHeight="1" spans="8:8">
      <c r="H474" s="33"/>
    </row>
    <row r="475" customHeight="1" spans="8:8">
      <c r="H475" s="33"/>
    </row>
    <row r="476" customHeight="1" spans="8:8">
      <c r="H476" s="33"/>
    </row>
    <row r="477" customHeight="1" spans="8:8">
      <c r="H477" s="33"/>
    </row>
    <row r="478" customHeight="1" spans="8:8">
      <c r="H478" s="33"/>
    </row>
    <row r="479" customHeight="1" spans="8:8">
      <c r="H479" s="33"/>
    </row>
    <row r="480" customHeight="1" spans="8:8">
      <c r="H480" s="33"/>
    </row>
    <row r="481" customHeight="1" spans="8:8">
      <c r="H481" s="33"/>
    </row>
    <row r="482" customHeight="1" spans="8:8">
      <c r="H482" s="33"/>
    </row>
    <row r="483" customHeight="1" spans="8:8">
      <c r="H483" s="33"/>
    </row>
    <row r="484" customHeight="1" spans="8:8">
      <c r="H484" s="33"/>
    </row>
    <row r="485" customHeight="1" spans="8:8">
      <c r="H485" s="33"/>
    </row>
    <row r="486" customHeight="1" spans="8:8">
      <c r="H486" s="33"/>
    </row>
    <row r="487" customHeight="1" spans="8:8">
      <c r="H487" s="33"/>
    </row>
    <row r="488" customHeight="1" spans="8:8">
      <c r="H488" s="33"/>
    </row>
    <row r="489" customHeight="1" spans="8:8">
      <c r="H489" s="33"/>
    </row>
    <row r="490" customHeight="1" spans="8:8">
      <c r="H490" s="33"/>
    </row>
    <row r="491" customHeight="1" spans="8:8">
      <c r="H491" s="33"/>
    </row>
    <row r="492" customHeight="1" spans="8:8">
      <c r="H492" s="33"/>
    </row>
    <row r="493" customHeight="1" spans="8:8">
      <c r="H493" s="33"/>
    </row>
    <row r="494" customHeight="1" spans="8:8">
      <c r="H494" s="33"/>
    </row>
    <row r="495" customHeight="1" spans="8:8">
      <c r="H495" s="33"/>
    </row>
    <row r="496" customHeight="1" spans="8:8">
      <c r="H496" s="33"/>
    </row>
    <row r="497" customHeight="1" spans="8:8">
      <c r="H497" s="33"/>
    </row>
    <row r="498" customHeight="1" spans="8:8">
      <c r="H498" s="33"/>
    </row>
    <row r="499" customHeight="1" spans="8:8">
      <c r="H499" s="33"/>
    </row>
    <row r="500" customHeight="1" spans="8:8">
      <c r="H500" s="33"/>
    </row>
    <row r="501" customHeight="1" spans="8:8">
      <c r="H501" s="33"/>
    </row>
    <row r="502" customHeight="1" spans="8:8">
      <c r="H502" s="33"/>
    </row>
    <row r="503" customHeight="1" spans="8:8">
      <c r="H503" s="33"/>
    </row>
    <row r="504" customHeight="1" spans="8:8">
      <c r="H504" s="33"/>
    </row>
    <row r="505" customHeight="1" spans="8:8">
      <c r="H505" s="33"/>
    </row>
    <row r="506" customHeight="1" spans="8:8">
      <c r="H506" s="33"/>
    </row>
    <row r="507" customHeight="1" spans="8:8">
      <c r="H507" s="33"/>
    </row>
    <row r="508" customHeight="1" spans="8:8">
      <c r="H508" s="33"/>
    </row>
    <row r="509" customHeight="1" spans="8:8">
      <c r="H509" s="33"/>
    </row>
    <row r="510" customHeight="1" spans="8:8">
      <c r="H510" s="33"/>
    </row>
    <row r="511" customHeight="1" spans="8:8">
      <c r="H511" s="33"/>
    </row>
    <row r="512" customHeight="1" spans="8:8">
      <c r="H512" s="33"/>
    </row>
    <row r="513" customHeight="1" spans="8:8">
      <c r="H513" s="33"/>
    </row>
    <row r="514" customHeight="1" spans="8:8">
      <c r="H514" s="33"/>
    </row>
    <row r="515" customHeight="1" spans="8:8">
      <c r="H515" s="33"/>
    </row>
    <row r="516" customHeight="1" spans="8:8">
      <c r="H516" s="33"/>
    </row>
    <row r="517" customHeight="1" spans="8:8">
      <c r="H517" s="33"/>
    </row>
    <row r="518" customHeight="1" spans="8:8">
      <c r="H518" s="33"/>
    </row>
    <row r="519" customHeight="1" spans="8:8">
      <c r="H519" s="33"/>
    </row>
    <row r="520" customHeight="1" spans="8:8">
      <c r="H520" s="33"/>
    </row>
    <row r="521" customHeight="1" spans="8:8">
      <c r="H521" s="33"/>
    </row>
    <row r="522" customHeight="1" spans="8:8">
      <c r="H522" s="33"/>
    </row>
    <row r="523" customHeight="1" spans="8:8">
      <c r="H523" s="33"/>
    </row>
    <row r="524" customHeight="1" spans="8:8">
      <c r="H524" s="33"/>
    </row>
    <row r="525" customHeight="1" spans="8:8">
      <c r="H525" s="33"/>
    </row>
    <row r="526" customHeight="1" spans="8:8">
      <c r="H526" s="33"/>
    </row>
    <row r="527" customHeight="1" spans="8:8">
      <c r="H527" s="33"/>
    </row>
    <row r="528" customHeight="1" spans="8:8">
      <c r="H528" s="33"/>
    </row>
    <row r="529" customHeight="1" spans="8:8">
      <c r="H529" s="33"/>
    </row>
    <row r="530" customHeight="1" spans="8:8">
      <c r="H530" s="33"/>
    </row>
    <row r="531" customHeight="1" spans="8:8">
      <c r="H531" s="33"/>
    </row>
    <row r="532" customHeight="1" spans="8:8">
      <c r="H532" s="33"/>
    </row>
    <row r="533" customHeight="1" spans="8:8">
      <c r="H533" s="33"/>
    </row>
    <row r="534" customHeight="1" spans="8:8">
      <c r="H534" s="33"/>
    </row>
    <row r="535" customHeight="1" spans="8:8">
      <c r="H535" s="33"/>
    </row>
    <row r="536" customHeight="1" spans="8:8">
      <c r="H536" s="33"/>
    </row>
    <row r="537" customHeight="1" spans="8:8">
      <c r="H537" s="33"/>
    </row>
    <row r="538" customHeight="1" spans="8:8">
      <c r="H538" s="33"/>
    </row>
    <row r="539" customHeight="1" spans="8:8">
      <c r="H539" s="33"/>
    </row>
    <row r="540" customHeight="1" spans="8:8">
      <c r="H540" s="33"/>
    </row>
    <row r="541" customHeight="1" spans="8:8">
      <c r="H541" s="33"/>
    </row>
    <row r="542" customHeight="1" spans="8:8">
      <c r="H542" s="33"/>
    </row>
    <row r="543" customHeight="1" spans="8:8">
      <c r="H543" s="33"/>
    </row>
    <row r="544" customHeight="1" spans="8:8">
      <c r="H544" s="33"/>
    </row>
    <row r="545" customHeight="1" spans="8:8">
      <c r="H545" s="33"/>
    </row>
    <row r="546" customHeight="1" spans="8:8">
      <c r="H546" s="33"/>
    </row>
    <row r="547" customHeight="1" spans="8:8">
      <c r="H547" s="33"/>
    </row>
    <row r="548" customHeight="1" spans="8:8">
      <c r="H548" s="33"/>
    </row>
    <row r="549" customHeight="1" spans="8:8">
      <c r="H549" s="33"/>
    </row>
    <row r="550" customHeight="1" spans="8:8">
      <c r="H550" s="33"/>
    </row>
    <row r="551" customHeight="1" spans="8:8">
      <c r="H551" s="33"/>
    </row>
    <row r="552" customHeight="1" spans="8:8">
      <c r="H552" s="33"/>
    </row>
    <row r="553" customHeight="1" spans="8:8">
      <c r="H553" s="33"/>
    </row>
    <row r="554" customHeight="1" spans="8:8">
      <c r="H554" s="33"/>
    </row>
    <row r="555" customHeight="1" spans="8:8">
      <c r="H555" s="33"/>
    </row>
    <row r="556" customHeight="1" spans="8:8">
      <c r="H556" s="33"/>
    </row>
    <row r="557" customHeight="1" spans="8:8">
      <c r="H557" s="33"/>
    </row>
    <row r="558" customHeight="1" spans="8:8">
      <c r="H558" s="33"/>
    </row>
    <row r="559" customHeight="1" spans="8:8">
      <c r="H559" s="33"/>
    </row>
    <row r="560" customHeight="1" spans="8:8">
      <c r="H560" s="33"/>
    </row>
    <row r="561" customHeight="1" spans="8:8">
      <c r="H561" s="33"/>
    </row>
    <row r="562" customHeight="1" spans="8:8">
      <c r="H562" s="33"/>
    </row>
    <row r="563" customHeight="1" spans="8:8">
      <c r="H563" s="33"/>
    </row>
    <row r="564" customHeight="1" spans="8:8">
      <c r="H564" s="33"/>
    </row>
    <row r="565" customHeight="1" spans="8:8">
      <c r="H565" s="33"/>
    </row>
    <row r="566" customHeight="1" spans="8:8">
      <c r="H566" s="33"/>
    </row>
    <row r="567" customHeight="1" spans="8:8">
      <c r="H567" s="33"/>
    </row>
    <row r="568" customHeight="1" spans="8:8">
      <c r="H568" s="33"/>
    </row>
    <row r="569" customHeight="1" spans="8:8">
      <c r="H569" s="33"/>
    </row>
    <row r="570" customHeight="1" spans="8:8">
      <c r="H570" s="33"/>
    </row>
    <row r="571" customHeight="1" spans="8:8">
      <c r="H571" s="33"/>
    </row>
    <row r="572" customHeight="1" spans="8:8">
      <c r="H572" s="33"/>
    </row>
    <row r="573" customHeight="1" spans="8:8">
      <c r="H573" s="33"/>
    </row>
    <row r="574" customHeight="1" spans="8:8">
      <c r="H574" s="33"/>
    </row>
    <row r="575" customHeight="1" spans="8:8">
      <c r="H575" s="33"/>
    </row>
    <row r="576" customHeight="1" spans="8:8">
      <c r="H576" s="33"/>
    </row>
    <row r="577" customHeight="1" spans="8:8">
      <c r="H577" s="33"/>
    </row>
    <row r="578" customHeight="1" spans="8:8">
      <c r="H578" s="33"/>
    </row>
    <row r="579" customHeight="1" spans="8:8">
      <c r="H579" s="33"/>
    </row>
    <row r="580" customHeight="1" spans="8:8">
      <c r="H580" s="33"/>
    </row>
    <row r="581" customHeight="1" spans="8:8">
      <c r="H581" s="33"/>
    </row>
    <row r="582" customHeight="1" spans="8:8">
      <c r="H582" s="33"/>
    </row>
    <row r="583" customHeight="1" spans="8:8">
      <c r="H583" s="33"/>
    </row>
    <row r="584" customHeight="1" spans="8:8">
      <c r="H584" s="33"/>
    </row>
    <row r="585" customHeight="1" spans="8:8">
      <c r="H585" s="33"/>
    </row>
    <row r="586" customHeight="1" spans="8:8">
      <c r="H586" s="33"/>
    </row>
    <row r="587" customHeight="1" spans="8:8">
      <c r="H587" s="33"/>
    </row>
    <row r="588" customHeight="1" spans="8:8">
      <c r="H588" s="33"/>
    </row>
    <row r="589" customHeight="1" spans="8:8">
      <c r="H589" s="33"/>
    </row>
    <row r="590" customHeight="1" spans="8:8">
      <c r="H590" s="33"/>
    </row>
    <row r="591" customHeight="1" spans="8:8">
      <c r="H591" s="33"/>
    </row>
    <row r="592" customHeight="1" spans="8:8">
      <c r="H592" s="33"/>
    </row>
    <row r="593" customHeight="1" spans="8:8">
      <c r="H593" s="33"/>
    </row>
    <row r="594" customHeight="1" spans="8:8">
      <c r="H594" s="33"/>
    </row>
    <row r="595" customHeight="1" spans="8:8">
      <c r="H595" s="33"/>
    </row>
    <row r="596" customHeight="1" spans="8:8">
      <c r="H596" s="33"/>
    </row>
    <row r="597" customHeight="1" spans="8:8">
      <c r="H597" s="33"/>
    </row>
    <row r="598" customHeight="1" spans="8:8">
      <c r="H598" s="33"/>
    </row>
    <row r="599" customHeight="1" spans="8:8">
      <c r="H599" s="33"/>
    </row>
    <row r="600" customHeight="1" spans="8:8">
      <c r="H600" s="33"/>
    </row>
    <row r="601" customHeight="1" spans="8:8">
      <c r="H601" s="33"/>
    </row>
    <row r="602" customHeight="1" spans="8:8">
      <c r="H602" s="33"/>
    </row>
    <row r="603" customHeight="1" spans="8:8">
      <c r="H603" s="33"/>
    </row>
    <row r="604" customHeight="1" spans="8:8">
      <c r="H604" s="33"/>
    </row>
    <row r="605" customHeight="1" spans="8:8">
      <c r="H605" s="33"/>
    </row>
    <row r="606" customHeight="1" spans="8:8">
      <c r="H606" s="33"/>
    </row>
    <row r="607" customHeight="1" spans="8:8">
      <c r="H607" s="33"/>
    </row>
    <row r="608" customHeight="1" spans="8:8">
      <c r="H608" s="33"/>
    </row>
    <row r="609" customHeight="1" spans="8:8">
      <c r="H609" s="33"/>
    </row>
    <row r="610" customHeight="1" spans="8:8">
      <c r="H610" s="33"/>
    </row>
    <row r="611" customHeight="1" spans="8:8">
      <c r="H611" s="33"/>
    </row>
    <row r="612" customHeight="1" spans="8:8">
      <c r="H612" s="33"/>
    </row>
    <row r="613" customHeight="1" spans="8:8">
      <c r="H613" s="33"/>
    </row>
    <row r="614" customHeight="1" spans="8:8">
      <c r="H614" s="33"/>
    </row>
    <row r="615" customHeight="1" spans="8:8">
      <c r="H615" s="33"/>
    </row>
    <row r="616" customHeight="1" spans="8:8">
      <c r="H616" s="33"/>
    </row>
    <row r="617" customHeight="1" spans="8:8">
      <c r="H617" s="33"/>
    </row>
    <row r="618" customHeight="1" spans="8:8">
      <c r="H618" s="33"/>
    </row>
    <row r="619" customHeight="1" spans="8:8">
      <c r="H619" s="33"/>
    </row>
    <row r="620" customHeight="1" spans="8:8">
      <c r="H620" s="33"/>
    </row>
    <row r="621" customHeight="1" spans="8:8">
      <c r="H621" s="33"/>
    </row>
    <row r="622" customHeight="1" spans="8:8">
      <c r="H622" s="33"/>
    </row>
    <row r="623" customHeight="1" spans="8:8">
      <c r="H623" s="33"/>
    </row>
    <row r="624" customHeight="1" spans="8:8">
      <c r="H624" s="33"/>
    </row>
    <row r="625" customHeight="1" spans="8:8">
      <c r="H625" s="33"/>
    </row>
    <row r="626" customHeight="1" spans="8:8">
      <c r="H626" s="33"/>
    </row>
    <row r="627" customHeight="1" spans="8:8">
      <c r="H627" s="33"/>
    </row>
    <row r="628" customHeight="1" spans="8:8">
      <c r="H628" s="33"/>
    </row>
    <row r="629" customHeight="1" spans="8:8">
      <c r="H629" s="33"/>
    </row>
    <row r="630" customHeight="1" spans="8:8">
      <c r="H630" s="33"/>
    </row>
    <row r="631" customHeight="1" spans="8:8">
      <c r="H631" s="33"/>
    </row>
    <row r="632" customHeight="1" spans="8:8">
      <c r="H632" s="33"/>
    </row>
    <row r="633" customHeight="1" spans="8:8">
      <c r="H633" s="33"/>
    </row>
    <row r="634" customHeight="1" spans="8:8">
      <c r="H634" s="33"/>
    </row>
    <row r="635" customHeight="1" spans="8:8">
      <c r="H635" s="33"/>
    </row>
    <row r="636" customHeight="1" spans="8:8">
      <c r="H636" s="33"/>
    </row>
    <row r="637" customHeight="1" spans="8:8">
      <c r="H637" s="33"/>
    </row>
    <row r="638" customHeight="1" spans="8:8">
      <c r="H638" s="33"/>
    </row>
    <row r="639" customHeight="1" spans="8:8">
      <c r="H639" s="33"/>
    </row>
    <row r="640" customHeight="1" spans="8:8">
      <c r="H640" s="33"/>
    </row>
    <row r="641" customHeight="1" spans="8:8">
      <c r="H641" s="33"/>
    </row>
    <row r="642" customHeight="1" spans="8:8">
      <c r="H642" s="33"/>
    </row>
    <row r="643" customHeight="1" spans="8:8">
      <c r="H643" s="33"/>
    </row>
    <row r="644" customHeight="1" spans="8:8">
      <c r="H644" s="33"/>
    </row>
    <row r="645" customHeight="1" spans="8:8">
      <c r="H645" s="33"/>
    </row>
    <row r="646" customHeight="1" spans="8:8">
      <c r="H646" s="33"/>
    </row>
    <row r="647" customHeight="1" spans="8:8">
      <c r="H647" s="33"/>
    </row>
    <row r="648" customHeight="1" spans="8:8">
      <c r="H648" s="33"/>
    </row>
    <row r="649" customHeight="1" spans="8:8">
      <c r="H649" s="33"/>
    </row>
    <row r="650" customHeight="1" spans="8:8">
      <c r="H650" s="33"/>
    </row>
    <row r="651" customHeight="1" spans="8:8">
      <c r="H651" s="33"/>
    </row>
    <row r="652" customHeight="1" spans="8:8">
      <c r="H652" s="33"/>
    </row>
    <row r="653" customHeight="1" spans="8:8">
      <c r="H653" s="33"/>
    </row>
    <row r="654" customHeight="1" spans="8:8">
      <c r="H654" s="33"/>
    </row>
    <row r="655" customHeight="1" spans="8:8">
      <c r="H655" s="33"/>
    </row>
    <row r="656" customHeight="1" spans="8:8">
      <c r="H656" s="33"/>
    </row>
    <row r="657" customHeight="1" spans="8:8">
      <c r="H657" s="33"/>
    </row>
    <row r="658" customHeight="1" spans="8:8">
      <c r="H658" s="33"/>
    </row>
    <row r="659" customHeight="1" spans="8:8">
      <c r="H659" s="33"/>
    </row>
    <row r="660" customHeight="1" spans="8:8">
      <c r="H660" s="33"/>
    </row>
    <row r="661" customHeight="1" spans="8:8">
      <c r="H661" s="33"/>
    </row>
    <row r="662" customHeight="1" spans="8:8">
      <c r="H662" s="33"/>
    </row>
    <row r="663" customHeight="1" spans="8:8">
      <c r="H663" s="33"/>
    </row>
    <row r="664" customHeight="1" spans="8:8">
      <c r="H664" s="33"/>
    </row>
    <row r="665" customHeight="1" spans="8:8">
      <c r="H665" s="33"/>
    </row>
    <row r="666" customHeight="1" spans="8:8">
      <c r="H666" s="33"/>
    </row>
    <row r="667" customHeight="1" spans="8:8">
      <c r="H667" s="33"/>
    </row>
    <row r="668" customHeight="1" spans="8:8">
      <c r="H668" s="33"/>
    </row>
    <row r="669" customHeight="1" spans="8:8">
      <c r="H669" s="33"/>
    </row>
    <row r="670" customHeight="1" spans="8:8">
      <c r="H670" s="33"/>
    </row>
    <row r="671" customHeight="1" spans="8:8">
      <c r="H671" s="33"/>
    </row>
    <row r="672" customHeight="1" spans="8:8">
      <c r="H672" s="33"/>
    </row>
    <row r="673" customHeight="1" spans="8:8">
      <c r="H673" s="33"/>
    </row>
    <row r="674" customHeight="1" spans="8:8">
      <c r="H674" s="33"/>
    </row>
    <row r="675" customHeight="1" spans="8:8">
      <c r="H675" s="33"/>
    </row>
    <row r="676" customHeight="1" spans="8:8">
      <c r="H676" s="33"/>
    </row>
    <row r="677" customHeight="1" spans="8:8">
      <c r="H677" s="33"/>
    </row>
    <row r="678" customHeight="1" spans="8:8">
      <c r="H678" s="33"/>
    </row>
    <row r="679" customHeight="1" spans="8:8">
      <c r="H679" s="33"/>
    </row>
    <row r="680" customHeight="1" spans="8:8">
      <c r="H680" s="33"/>
    </row>
    <row r="681" customHeight="1" spans="8:8">
      <c r="H681" s="33"/>
    </row>
    <row r="682" customHeight="1" spans="8:8">
      <c r="H682" s="33"/>
    </row>
    <row r="683" customHeight="1" spans="8:8">
      <c r="H683" s="33"/>
    </row>
    <row r="684" customHeight="1" spans="8:8">
      <c r="H684" s="33"/>
    </row>
    <row r="685" customHeight="1" spans="8:8">
      <c r="H685" s="33"/>
    </row>
    <row r="686" customHeight="1" spans="8:8">
      <c r="H686" s="33"/>
    </row>
    <row r="687" customHeight="1" spans="8:8">
      <c r="H687" s="33"/>
    </row>
    <row r="688" customHeight="1" spans="8:8">
      <c r="H688" s="33"/>
    </row>
    <row r="689" customHeight="1" spans="8:8">
      <c r="H689" s="33"/>
    </row>
    <row r="690" customHeight="1" spans="8:8">
      <c r="H690" s="33"/>
    </row>
    <row r="691" customHeight="1" spans="8:8">
      <c r="H691" s="33"/>
    </row>
    <row r="692" customHeight="1" spans="8:8">
      <c r="H692" s="33"/>
    </row>
    <row r="693" customHeight="1" spans="8:8">
      <c r="H693" s="33"/>
    </row>
    <row r="694" customHeight="1" spans="8:8">
      <c r="H694" s="33"/>
    </row>
    <row r="695" customHeight="1" spans="8:8">
      <c r="H695" s="33"/>
    </row>
    <row r="696" customHeight="1" spans="8:8">
      <c r="H696" s="33"/>
    </row>
    <row r="697" customHeight="1" spans="8:8">
      <c r="H697" s="33"/>
    </row>
    <row r="698" customHeight="1" spans="8:8">
      <c r="H698" s="33"/>
    </row>
    <row r="699" customHeight="1" spans="8:8">
      <c r="H699" s="33"/>
    </row>
    <row r="700" customHeight="1" spans="8:8">
      <c r="H700" s="33"/>
    </row>
    <row r="701" customHeight="1" spans="8:8">
      <c r="H701" s="33"/>
    </row>
    <row r="702" customHeight="1" spans="8:8">
      <c r="H702" s="33"/>
    </row>
    <row r="703" customHeight="1" spans="8:8">
      <c r="H703" s="33"/>
    </row>
    <row r="704" customHeight="1" spans="8:8">
      <c r="H704" s="33"/>
    </row>
    <row r="705" customHeight="1" spans="8:8">
      <c r="H705" s="33"/>
    </row>
    <row r="706" customHeight="1" spans="8:8">
      <c r="H706" s="33"/>
    </row>
    <row r="707" customHeight="1" spans="8:8">
      <c r="H707" s="33"/>
    </row>
    <row r="708" customHeight="1" spans="8:8">
      <c r="H708" s="33"/>
    </row>
    <row r="709" customHeight="1" spans="8:8">
      <c r="H709" s="33"/>
    </row>
    <row r="710" customHeight="1" spans="8:8">
      <c r="H710" s="33"/>
    </row>
    <row r="711" customHeight="1" spans="8:8">
      <c r="H711" s="33"/>
    </row>
    <row r="712" customHeight="1" spans="8:8">
      <c r="H712" s="33"/>
    </row>
    <row r="713" customHeight="1" spans="8:8">
      <c r="H713" s="33"/>
    </row>
    <row r="714" customHeight="1" spans="8:8">
      <c r="H714" s="33"/>
    </row>
    <row r="715" customHeight="1" spans="8:8">
      <c r="H715" s="33"/>
    </row>
    <row r="716" customHeight="1" spans="8:8">
      <c r="H716" s="33"/>
    </row>
    <row r="717" customHeight="1" spans="8:8">
      <c r="H717" s="33"/>
    </row>
    <row r="718" customHeight="1" spans="8:8">
      <c r="H718" s="33"/>
    </row>
    <row r="719" customHeight="1" spans="8:8">
      <c r="H719" s="33"/>
    </row>
    <row r="720" customHeight="1" spans="8:8">
      <c r="H720" s="33"/>
    </row>
    <row r="721" customHeight="1" spans="8:8">
      <c r="H721" s="33"/>
    </row>
    <row r="722" customHeight="1" spans="8:8">
      <c r="H722" s="33"/>
    </row>
    <row r="723" customHeight="1" spans="8:8">
      <c r="H723" s="33"/>
    </row>
    <row r="724" customHeight="1" spans="8:8">
      <c r="H724" s="33"/>
    </row>
    <row r="725" customHeight="1" spans="8:8">
      <c r="H725" s="33"/>
    </row>
    <row r="726" customHeight="1" spans="8:8">
      <c r="H726" s="33"/>
    </row>
    <row r="727" customHeight="1" spans="8:8">
      <c r="H727" s="33"/>
    </row>
    <row r="728" customHeight="1" spans="8:8">
      <c r="H728" s="33"/>
    </row>
    <row r="729" customHeight="1" spans="8:8">
      <c r="H729" s="33"/>
    </row>
    <row r="730" customHeight="1" spans="8:8">
      <c r="H730" s="33"/>
    </row>
    <row r="731" customHeight="1" spans="8:8">
      <c r="H731" s="33"/>
    </row>
    <row r="732" customHeight="1" spans="8:8">
      <c r="H732" s="33"/>
    </row>
    <row r="733" customHeight="1" spans="8:8">
      <c r="H733" s="33"/>
    </row>
    <row r="734" customHeight="1" spans="8:8">
      <c r="H734" s="33"/>
    </row>
    <row r="735" customHeight="1" spans="8:8">
      <c r="H735" s="33"/>
    </row>
    <row r="736" customHeight="1" spans="8:8">
      <c r="H736" s="33"/>
    </row>
    <row r="737" customHeight="1" spans="8:8">
      <c r="H737" s="33"/>
    </row>
    <row r="738" customHeight="1" spans="8:8">
      <c r="H738" s="33"/>
    </row>
    <row r="739" customHeight="1" spans="8:8">
      <c r="H739" s="33"/>
    </row>
    <row r="740" customHeight="1" spans="8:8">
      <c r="H740" s="33"/>
    </row>
    <row r="741" customHeight="1" spans="8:8">
      <c r="H741" s="33"/>
    </row>
    <row r="742" customHeight="1" spans="8:8">
      <c r="H742" s="33"/>
    </row>
    <row r="743" customHeight="1" spans="8:8">
      <c r="H743" s="33"/>
    </row>
    <row r="744" customHeight="1" spans="8:8">
      <c r="H744" s="33"/>
    </row>
    <row r="745" customHeight="1" spans="8:8">
      <c r="H745" s="33"/>
    </row>
    <row r="746" customHeight="1" spans="8:8">
      <c r="H746" s="33"/>
    </row>
    <row r="747" customHeight="1" spans="8:8">
      <c r="H747" s="33"/>
    </row>
    <row r="748" customHeight="1" spans="8:8">
      <c r="H748" s="33"/>
    </row>
    <row r="749" customHeight="1" spans="8:8">
      <c r="H749" s="33"/>
    </row>
    <row r="750" customHeight="1" spans="8:8">
      <c r="H750" s="33"/>
    </row>
    <row r="751" customHeight="1" spans="8:8">
      <c r="H751" s="33"/>
    </row>
    <row r="752" customHeight="1" spans="8:8">
      <c r="H752" s="33"/>
    </row>
    <row r="753" customHeight="1" spans="8:8">
      <c r="H753" s="33"/>
    </row>
    <row r="754" customHeight="1" spans="8:8">
      <c r="H754" s="33"/>
    </row>
    <row r="755" customHeight="1" spans="8:8">
      <c r="H755" s="33"/>
    </row>
    <row r="756" customHeight="1" spans="8:8">
      <c r="H756" s="33"/>
    </row>
    <row r="757" customHeight="1" spans="8:8">
      <c r="H757" s="33"/>
    </row>
    <row r="758" customHeight="1" spans="8:8">
      <c r="H758" s="33"/>
    </row>
    <row r="759" customHeight="1" spans="8:8">
      <c r="H759" s="33"/>
    </row>
    <row r="760" customHeight="1" spans="8:8">
      <c r="H760" s="33"/>
    </row>
    <row r="761" customHeight="1" spans="8:8">
      <c r="H761" s="33"/>
    </row>
    <row r="762" customHeight="1" spans="8:8">
      <c r="H762" s="33"/>
    </row>
    <row r="763" customHeight="1" spans="8:8">
      <c r="H763" s="33"/>
    </row>
    <row r="764" customHeight="1" spans="8:8">
      <c r="H764" s="33"/>
    </row>
    <row r="765" customHeight="1" spans="8:8">
      <c r="H765" s="33"/>
    </row>
    <row r="766" customHeight="1" spans="8:8">
      <c r="H766" s="33"/>
    </row>
    <row r="767" customHeight="1" spans="8:8">
      <c r="H767" s="33"/>
    </row>
    <row r="768" customHeight="1" spans="8:8">
      <c r="H768" s="33"/>
    </row>
    <row r="769" customHeight="1" spans="8:8">
      <c r="H769" s="33"/>
    </row>
    <row r="770" customHeight="1" spans="8:8">
      <c r="H770" s="33"/>
    </row>
    <row r="771" customHeight="1" spans="8:8">
      <c r="H771" s="33"/>
    </row>
    <row r="772" customHeight="1" spans="8:8">
      <c r="H772" s="33"/>
    </row>
    <row r="773" customHeight="1" spans="8:8">
      <c r="H773" s="33"/>
    </row>
    <row r="774" customHeight="1" spans="8:8">
      <c r="H774" s="33"/>
    </row>
    <row r="775" customHeight="1" spans="8:8">
      <c r="H775" s="33"/>
    </row>
    <row r="776" customHeight="1" spans="8:8">
      <c r="H776" s="33"/>
    </row>
    <row r="777" customHeight="1" spans="8:8">
      <c r="H777" s="33"/>
    </row>
    <row r="778" customHeight="1" spans="8:8">
      <c r="H778" s="33"/>
    </row>
    <row r="779" customHeight="1" spans="8:8">
      <c r="H779" s="33"/>
    </row>
    <row r="780" customHeight="1" spans="8:8">
      <c r="H780" s="33"/>
    </row>
    <row r="781" customHeight="1" spans="8:8">
      <c r="H781" s="33"/>
    </row>
    <row r="782" customHeight="1" spans="8:8">
      <c r="H782" s="33"/>
    </row>
    <row r="783" customHeight="1" spans="8:8">
      <c r="H783" s="33"/>
    </row>
    <row r="784" customHeight="1" spans="8:8">
      <c r="H784" s="33"/>
    </row>
    <row r="785" customHeight="1" spans="8:8">
      <c r="H785" s="33"/>
    </row>
    <row r="786" customHeight="1" spans="8:8">
      <c r="H786" s="33"/>
    </row>
    <row r="787" customHeight="1" spans="8:8">
      <c r="H787" s="33"/>
    </row>
    <row r="788" customHeight="1" spans="8:8">
      <c r="H788" s="33"/>
    </row>
    <row r="789" customHeight="1" spans="8:8">
      <c r="H789" s="33"/>
    </row>
    <row r="790" customHeight="1" spans="8:8">
      <c r="H790" s="33"/>
    </row>
    <row r="791" customHeight="1" spans="8:8">
      <c r="H791" s="33"/>
    </row>
    <row r="792" customHeight="1" spans="8:8">
      <c r="H792" s="33"/>
    </row>
    <row r="793" customHeight="1" spans="8:8">
      <c r="H793" s="33"/>
    </row>
    <row r="794" customHeight="1" spans="8:8">
      <c r="H794" s="33"/>
    </row>
    <row r="795" customHeight="1" spans="8:8">
      <c r="H795" s="33"/>
    </row>
    <row r="796" customHeight="1" spans="8:8">
      <c r="H796" s="33"/>
    </row>
    <row r="797" customHeight="1" spans="8:8">
      <c r="H797" s="33"/>
    </row>
    <row r="798" customHeight="1" spans="8:8">
      <c r="H798" s="33"/>
    </row>
    <row r="799" customHeight="1" spans="8:8">
      <c r="H799" s="33"/>
    </row>
    <row r="800" customHeight="1" spans="8:8">
      <c r="H800" s="33"/>
    </row>
    <row r="801" customHeight="1" spans="8:8">
      <c r="H801" s="33"/>
    </row>
    <row r="802" customHeight="1" spans="8:8">
      <c r="H802" s="33"/>
    </row>
    <row r="803" customHeight="1" spans="8:8">
      <c r="H803" s="33"/>
    </row>
    <row r="804" customHeight="1" spans="8:8">
      <c r="H804" s="33"/>
    </row>
    <row r="805" customHeight="1" spans="8:8">
      <c r="H805" s="33"/>
    </row>
    <row r="806" customHeight="1" spans="8:8">
      <c r="H806" s="33"/>
    </row>
    <row r="807" customHeight="1" spans="8:8">
      <c r="H807" s="33"/>
    </row>
    <row r="808" customHeight="1" spans="8:8">
      <c r="H808" s="33"/>
    </row>
    <row r="809" customHeight="1" spans="8:8">
      <c r="H809" s="33"/>
    </row>
    <row r="810" customHeight="1" spans="8:8">
      <c r="H810" s="33"/>
    </row>
    <row r="811" customHeight="1" spans="8:8">
      <c r="H811" s="33"/>
    </row>
    <row r="812" customHeight="1" spans="8:8">
      <c r="H812" s="33"/>
    </row>
    <row r="813" customHeight="1" spans="8:8">
      <c r="H813" s="33"/>
    </row>
    <row r="814" customHeight="1" spans="8:8">
      <c r="H814" s="33"/>
    </row>
    <row r="815" customHeight="1" spans="8:8">
      <c r="H815" s="33"/>
    </row>
    <row r="816" customHeight="1" spans="8:8">
      <c r="H816" s="33"/>
    </row>
    <row r="817" customHeight="1" spans="8:8">
      <c r="H817" s="33"/>
    </row>
    <row r="818" customHeight="1" spans="8:8">
      <c r="H818" s="33"/>
    </row>
    <row r="819" customHeight="1" spans="8:8">
      <c r="H819" s="33"/>
    </row>
    <row r="820" customHeight="1" spans="8:8">
      <c r="H820" s="33"/>
    </row>
    <row r="821" customHeight="1" spans="8:8">
      <c r="H821" s="33"/>
    </row>
    <row r="822" customHeight="1" spans="8:8">
      <c r="H822" s="33"/>
    </row>
    <row r="823" customHeight="1" spans="8:8">
      <c r="H823" s="33"/>
    </row>
    <row r="824" customHeight="1" spans="8:8">
      <c r="H824" s="33"/>
    </row>
    <row r="825" customHeight="1" spans="8:8">
      <c r="H825" s="33"/>
    </row>
    <row r="826" customHeight="1" spans="8:8">
      <c r="H826" s="33"/>
    </row>
    <row r="827" customHeight="1" spans="8:8">
      <c r="H827" s="33"/>
    </row>
    <row r="828" customHeight="1" spans="8:8">
      <c r="H828" s="33"/>
    </row>
    <row r="829" customHeight="1" spans="8:8">
      <c r="H829" s="33"/>
    </row>
    <row r="830" customHeight="1" spans="8:8">
      <c r="H830" s="33"/>
    </row>
    <row r="831" customHeight="1" spans="8:8">
      <c r="H831" s="33"/>
    </row>
    <row r="832" customHeight="1" spans="8:8">
      <c r="H832" s="33"/>
    </row>
    <row r="833" customHeight="1" spans="8:8">
      <c r="H833" s="33"/>
    </row>
    <row r="834" customHeight="1" spans="8:8">
      <c r="H834" s="33"/>
    </row>
    <row r="835" customHeight="1" spans="8:8">
      <c r="H835" s="33"/>
    </row>
    <row r="836" customHeight="1" spans="8:8">
      <c r="H836" s="33"/>
    </row>
    <row r="837" customHeight="1" spans="8:8">
      <c r="H837" s="33"/>
    </row>
    <row r="838" customHeight="1" spans="8:8">
      <c r="H838" s="33"/>
    </row>
    <row r="839" customHeight="1" spans="8:8">
      <c r="H839" s="33"/>
    </row>
    <row r="840" customHeight="1" spans="8:8">
      <c r="H840" s="33"/>
    </row>
    <row r="841" customHeight="1" spans="8:8">
      <c r="H841" s="33"/>
    </row>
    <row r="842" customHeight="1" spans="8:8">
      <c r="H842" s="33"/>
    </row>
    <row r="843" customHeight="1" spans="8:8">
      <c r="H843" s="33"/>
    </row>
    <row r="844" customHeight="1" spans="8:8">
      <c r="H844" s="33"/>
    </row>
    <row r="845" customHeight="1" spans="8:8">
      <c r="H845" s="33"/>
    </row>
    <row r="846" customHeight="1" spans="8:8">
      <c r="H846" s="33"/>
    </row>
    <row r="847" customHeight="1" spans="8:8">
      <c r="H847" s="33"/>
    </row>
    <row r="848" customHeight="1" spans="8:8">
      <c r="H848" s="33"/>
    </row>
    <row r="849" customHeight="1" spans="8:8">
      <c r="H849" s="33"/>
    </row>
    <row r="850" customHeight="1" spans="8:8">
      <c r="H850" s="33"/>
    </row>
    <row r="851" customHeight="1" spans="8:8">
      <c r="H851" s="33"/>
    </row>
    <row r="852" customHeight="1" spans="8:8">
      <c r="H852" s="33"/>
    </row>
    <row r="853" customHeight="1" spans="8:8">
      <c r="H853" s="33"/>
    </row>
    <row r="854" customHeight="1" spans="8:8">
      <c r="H854" s="33"/>
    </row>
    <row r="855" customHeight="1" spans="8:8">
      <c r="H855" s="33"/>
    </row>
    <row r="856" customHeight="1" spans="8:8">
      <c r="H856" s="33"/>
    </row>
    <row r="857" customHeight="1" spans="8:8">
      <c r="H857" s="33"/>
    </row>
    <row r="858" customHeight="1" spans="8:8">
      <c r="H858" s="33"/>
    </row>
    <row r="859" customHeight="1" spans="8:8">
      <c r="H859" s="33"/>
    </row>
    <row r="860" customHeight="1" spans="8:8">
      <c r="H860" s="33"/>
    </row>
    <row r="861" customHeight="1" spans="8:8">
      <c r="H861" s="33"/>
    </row>
    <row r="862" customHeight="1" spans="8:8">
      <c r="H862" s="33"/>
    </row>
    <row r="863" customHeight="1" spans="8:8">
      <c r="H863" s="33"/>
    </row>
    <row r="864" customHeight="1" spans="8:8">
      <c r="H864" s="33"/>
    </row>
    <row r="865" customHeight="1" spans="8:8">
      <c r="H865" s="33"/>
    </row>
    <row r="866" customHeight="1" spans="8:8">
      <c r="H866" s="33"/>
    </row>
    <row r="867" customHeight="1" spans="8:8">
      <c r="H867" s="33"/>
    </row>
    <row r="868" customHeight="1" spans="8:8">
      <c r="H868" s="33"/>
    </row>
    <row r="869" customHeight="1" spans="8:8">
      <c r="H869" s="33"/>
    </row>
    <row r="870" customHeight="1" spans="8:8">
      <c r="H870" s="33"/>
    </row>
    <row r="871" customHeight="1" spans="8:8">
      <c r="H871" s="33"/>
    </row>
    <row r="872" customHeight="1" spans="8:8">
      <c r="H872" s="33"/>
    </row>
    <row r="873" customHeight="1" spans="8:8">
      <c r="H873" s="33"/>
    </row>
    <row r="874" customHeight="1" spans="8:8">
      <c r="H874" s="33"/>
    </row>
    <row r="875" customHeight="1" spans="8:8">
      <c r="H875" s="33"/>
    </row>
    <row r="876" customHeight="1" spans="8:8">
      <c r="H876" s="33"/>
    </row>
    <row r="877" customHeight="1" spans="8:8">
      <c r="H877" s="33"/>
    </row>
    <row r="878" customHeight="1" spans="8:8">
      <c r="H878" s="33"/>
    </row>
    <row r="879" customHeight="1" spans="8:8">
      <c r="H879" s="33"/>
    </row>
    <row r="880" customHeight="1" spans="8:8">
      <c r="H880" s="33"/>
    </row>
    <row r="881" customHeight="1" spans="8:8">
      <c r="H881" s="33"/>
    </row>
    <row r="882" customHeight="1" spans="8:8">
      <c r="H882" s="33"/>
    </row>
    <row r="883" customHeight="1" spans="8:8">
      <c r="H883" s="33"/>
    </row>
    <row r="884" customHeight="1" spans="8:8">
      <c r="H884" s="33"/>
    </row>
    <row r="885" customHeight="1" spans="8:8">
      <c r="H885" s="33"/>
    </row>
    <row r="886" customHeight="1" spans="8:8">
      <c r="H886" s="33"/>
    </row>
    <row r="887" customHeight="1" spans="8:8">
      <c r="H887" s="33"/>
    </row>
    <row r="888" customHeight="1" spans="8:8">
      <c r="H888" s="33"/>
    </row>
    <row r="889" customHeight="1" spans="8:8">
      <c r="H889" s="33"/>
    </row>
    <row r="890" customHeight="1" spans="8:8">
      <c r="H890" s="33"/>
    </row>
    <row r="891" customHeight="1" spans="8:8">
      <c r="H891" s="33"/>
    </row>
    <row r="892" customHeight="1" spans="8:8">
      <c r="H892" s="33"/>
    </row>
    <row r="893" customHeight="1" spans="8:8">
      <c r="H893" s="33"/>
    </row>
    <row r="894" customHeight="1" spans="8:8">
      <c r="H894" s="33"/>
    </row>
    <row r="895" customHeight="1" spans="8:8">
      <c r="H895" s="33"/>
    </row>
    <row r="896" customHeight="1" spans="8:8">
      <c r="H896" s="33"/>
    </row>
    <row r="897" customHeight="1" spans="8:8">
      <c r="H897" s="33"/>
    </row>
    <row r="898" customHeight="1" spans="8:8">
      <c r="H898" s="33"/>
    </row>
    <row r="899" customHeight="1" spans="8:8">
      <c r="H899" s="33"/>
    </row>
    <row r="900" customHeight="1" spans="8:8">
      <c r="H900" s="33"/>
    </row>
    <row r="901" customHeight="1" spans="8:8">
      <c r="H901" s="33"/>
    </row>
    <row r="902" customHeight="1" spans="8:8">
      <c r="H902" s="33"/>
    </row>
    <row r="903" customHeight="1" spans="8:8">
      <c r="H903" s="33"/>
    </row>
    <row r="904" customHeight="1" spans="8:8">
      <c r="H904" s="33"/>
    </row>
    <row r="905" customHeight="1" spans="8:8">
      <c r="H905" s="33"/>
    </row>
    <row r="906" customHeight="1" spans="8:8">
      <c r="H906" s="33"/>
    </row>
    <row r="907" customHeight="1" spans="8:8">
      <c r="H907" s="33"/>
    </row>
    <row r="908" customHeight="1" spans="8:8">
      <c r="H908" s="33"/>
    </row>
    <row r="909" customHeight="1" spans="8:8">
      <c r="H909" s="33"/>
    </row>
    <row r="910" customHeight="1" spans="8:8">
      <c r="H910" s="33"/>
    </row>
    <row r="911" customHeight="1" spans="8:8">
      <c r="H911" s="33"/>
    </row>
    <row r="912" customHeight="1" spans="8:8">
      <c r="H912" s="33"/>
    </row>
    <row r="913" customHeight="1" spans="8:8">
      <c r="H913" s="33"/>
    </row>
    <row r="914" customHeight="1" spans="8:8">
      <c r="H914" s="33"/>
    </row>
    <row r="915" customHeight="1" spans="8:8">
      <c r="H915" s="33"/>
    </row>
    <row r="916" customHeight="1" spans="8:8">
      <c r="H916" s="33"/>
    </row>
    <row r="917" customHeight="1" spans="8:8">
      <c r="H917" s="33"/>
    </row>
    <row r="918" customHeight="1" spans="8:8">
      <c r="H918" s="33"/>
    </row>
    <row r="919" customHeight="1" spans="8:8">
      <c r="H919" s="33"/>
    </row>
    <row r="920" customHeight="1" spans="8:8">
      <c r="H920" s="33"/>
    </row>
    <row r="921" customHeight="1" spans="8:8">
      <c r="H921" s="33"/>
    </row>
    <row r="922" customHeight="1" spans="8:8">
      <c r="H922" s="33"/>
    </row>
    <row r="923" customHeight="1" spans="8:8">
      <c r="H923" s="33"/>
    </row>
    <row r="924" customHeight="1" spans="8:8">
      <c r="H924" s="33"/>
    </row>
    <row r="925" customHeight="1" spans="8:8">
      <c r="H925" s="33"/>
    </row>
    <row r="926" customHeight="1" spans="8:8">
      <c r="H926" s="33"/>
    </row>
    <row r="927" customHeight="1" spans="8:8">
      <c r="H927" s="33"/>
    </row>
    <row r="928" customHeight="1" spans="8:8">
      <c r="H928" s="33"/>
    </row>
    <row r="929" customHeight="1" spans="8:8">
      <c r="H929" s="33"/>
    </row>
    <row r="930" customHeight="1" spans="8:8">
      <c r="H930" s="33"/>
    </row>
    <row r="931" customHeight="1" spans="8:8">
      <c r="H931" s="33"/>
    </row>
    <row r="932" customHeight="1" spans="8:8">
      <c r="H932" s="33"/>
    </row>
    <row r="933" customHeight="1" spans="8:8">
      <c r="H933" s="33"/>
    </row>
    <row r="934" customHeight="1" spans="8:8">
      <c r="H934" s="33"/>
    </row>
    <row r="935" customHeight="1" spans="8:8">
      <c r="H935" s="33"/>
    </row>
    <row r="936" customHeight="1" spans="8:8">
      <c r="H936" s="33"/>
    </row>
    <row r="937" customHeight="1" spans="8:8">
      <c r="H937" s="33"/>
    </row>
    <row r="938" customHeight="1" spans="8:8">
      <c r="H938" s="33"/>
    </row>
    <row r="939" customHeight="1" spans="8:8">
      <c r="H939" s="33"/>
    </row>
    <row r="940" customHeight="1" spans="8:8">
      <c r="H940" s="33"/>
    </row>
    <row r="941" customHeight="1" spans="8:8">
      <c r="H941" s="33"/>
    </row>
    <row r="942" customHeight="1" spans="8:8">
      <c r="H942" s="33"/>
    </row>
    <row r="943" customHeight="1" spans="8:8">
      <c r="H943" s="33"/>
    </row>
    <row r="944" customHeight="1" spans="8:8">
      <c r="H944" s="33"/>
    </row>
    <row r="945" customHeight="1" spans="8:8">
      <c r="H945" s="33"/>
    </row>
    <row r="946" customHeight="1" spans="8:8">
      <c r="H946" s="33"/>
    </row>
    <row r="947" customHeight="1" spans="8:8">
      <c r="H947" s="33"/>
    </row>
    <row r="948" customHeight="1" spans="8:8">
      <c r="H948" s="33"/>
    </row>
    <row r="949" customHeight="1" spans="8:8">
      <c r="H949" s="33"/>
    </row>
    <row r="950" customHeight="1" spans="8:8">
      <c r="H950" s="33"/>
    </row>
    <row r="951" customHeight="1" spans="8:8">
      <c r="H951" s="33"/>
    </row>
    <row r="952" customHeight="1" spans="8:8">
      <c r="H952" s="33"/>
    </row>
    <row r="953" customHeight="1" spans="8:8">
      <c r="H953" s="33"/>
    </row>
    <row r="954" customHeight="1" spans="8:8">
      <c r="H954" s="33"/>
    </row>
    <row r="955" customHeight="1" spans="8:8">
      <c r="H955" s="33"/>
    </row>
    <row r="956" customHeight="1" spans="8:8">
      <c r="H956" s="33"/>
    </row>
    <row r="957" customHeight="1" spans="8:8">
      <c r="H957" s="33"/>
    </row>
    <row r="958" customHeight="1" spans="8:8">
      <c r="H958" s="33"/>
    </row>
    <row r="959" customHeight="1" spans="8:8">
      <c r="H959" s="33"/>
    </row>
    <row r="960" customHeight="1" spans="8:8">
      <c r="H960" s="33"/>
    </row>
    <row r="961" customHeight="1" spans="8:8">
      <c r="H961" s="33"/>
    </row>
    <row r="962" customHeight="1" spans="8:8">
      <c r="H962" s="33"/>
    </row>
    <row r="963" customHeight="1" spans="8:8">
      <c r="H963" s="33"/>
    </row>
    <row r="964" customHeight="1" spans="8:8">
      <c r="H964" s="33"/>
    </row>
    <row r="965" customHeight="1" spans="8:8">
      <c r="H965" s="33"/>
    </row>
    <row r="966" customHeight="1" spans="8:8">
      <c r="H966" s="33"/>
    </row>
    <row r="967" customHeight="1" spans="8:8">
      <c r="H967" s="33"/>
    </row>
    <row r="968" customHeight="1" spans="8:8">
      <c r="H968" s="33"/>
    </row>
    <row r="969" customHeight="1" spans="8:8">
      <c r="H969" s="33"/>
    </row>
    <row r="970" customHeight="1" spans="8:8">
      <c r="H970" s="33"/>
    </row>
    <row r="971" customHeight="1" spans="8:8">
      <c r="H971" s="33"/>
    </row>
    <row r="972" customHeight="1" spans="8:8">
      <c r="H972" s="33"/>
    </row>
  </sheetData>
  <autoFilter xmlns:etc="http://www.wps.cn/officeDocument/2017/etCustomData" ref="A12:J204" etc:filterBottomFollowUsedRange="0">
    <extLst/>
  </autoFilter>
  <mergeCells count="1">
    <mergeCell ref="A1:J1"/>
  </mergeCells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11" topLeftCell="A12" activePane="bottomLeft" state="frozen"/>
      <selection/>
      <selection pane="bottomLeft" activeCell="B13" sqref="B13"/>
    </sheetView>
  </sheetViews>
  <sheetFormatPr defaultColWidth="14.4285714285714" defaultRowHeight="15" customHeight="1"/>
  <cols>
    <col min="1" max="1" width="39.1428571428571" customWidth="1"/>
    <col min="2" max="2" width="24" customWidth="1"/>
    <col min="3" max="3" width="20.7142857142857" customWidth="1"/>
    <col min="4" max="5" width="23.4285714285714" customWidth="1"/>
    <col min="6" max="6" width="25.1428571428571" customWidth="1"/>
    <col min="7" max="7" width="23.4285714285714" customWidth="1"/>
    <col min="8" max="8" width="19.1428571428571" customWidth="1"/>
    <col min="9" max="9" width="23.4285714285714" customWidth="1"/>
    <col min="10" max="10" width="15.1428571428571" customWidth="1"/>
    <col min="11" max="26" width="8.71428571428571" customWidth="1"/>
  </cols>
  <sheetData>
    <row r="1" ht="48.75" hidden="1" customHeight="1" outlineLevel="1" spans="1:9">
      <c r="A1" s="1" t="s">
        <v>401</v>
      </c>
      <c r="B1" s="2"/>
      <c r="C1" s="2"/>
      <c r="D1" s="2"/>
      <c r="E1" s="2"/>
      <c r="F1" s="2"/>
      <c r="G1" s="2"/>
      <c r="H1" s="2"/>
      <c r="I1" s="2"/>
    </row>
    <row r="2" ht="28.5" hidden="1" outlineLevel="1" spans="1:9">
      <c r="A2" s="3" t="s">
        <v>402</v>
      </c>
      <c r="B2" s="3" t="s">
        <v>404</v>
      </c>
      <c r="C2" s="3" t="s">
        <v>405</v>
      </c>
      <c r="D2" s="3" t="s">
        <v>406</v>
      </c>
      <c r="E2" s="3" t="s">
        <v>407</v>
      </c>
      <c r="F2" s="3" t="s">
        <v>413</v>
      </c>
      <c r="G2" s="3" t="s">
        <v>409</v>
      </c>
      <c r="H2" s="3" t="s">
        <v>410</v>
      </c>
      <c r="I2" s="3" t="s">
        <v>411</v>
      </c>
    </row>
    <row r="3" ht="33.75" hidden="1" outlineLevel="1" spans="1:9">
      <c r="A3" s="4" t="s">
        <v>9</v>
      </c>
      <c r="B3" s="5">
        <f t="shared" ref="B3:B9" si="0">SUMIF($B$12:$B$1000,A3,$F$12:$F$1000)</f>
        <v>42000</v>
      </c>
      <c r="C3" s="6">
        <f t="shared" ref="C3:C9" si="1">SUMIF($B$12:$B$1000,A3,$G$12:$G$1000)</f>
        <v>7000</v>
      </c>
      <c r="D3" s="6">
        <f t="shared" ref="D3:D9" si="2">SUMIF($B$12:$B$1000,A3,$H$12:$H$1000)</f>
        <v>0</v>
      </c>
      <c r="E3" s="7">
        <f t="shared" ref="E3:E9" si="3">B3-D3</f>
        <v>42000</v>
      </c>
      <c r="F3" s="6">
        <f t="shared" ref="F3:F9" si="4">E3+C3</f>
        <v>49000</v>
      </c>
      <c r="G3" s="6">
        <f t="shared" ref="G3:G9" si="5">SUMIF($B$12:$B$1000,A3,$D$12:$D$1000)</f>
        <v>22100</v>
      </c>
      <c r="H3" s="6">
        <v>0</v>
      </c>
      <c r="I3" s="6">
        <f t="shared" ref="I3:I9" si="6">B3-G3-H3</f>
        <v>19900</v>
      </c>
    </row>
    <row r="4" ht="33.75" hidden="1" outlineLevel="1" spans="1:9">
      <c r="A4" s="4" t="s">
        <v>167</v>
      </c>
      <c r="B4" s="6">
        <f t="shared" si="0"/>
        <v>24400</v>
      </c>
      <c r="C4" s="6">
        <f t="shared" si="1"/>
        <v>5000</v>
      </c>
      <c r="D4" s="6">
        <f t="shared" si="2"/>
        <v>0</v>
      </c>
      <c r="E4" s="7">
        <f t="shared" si="3"/>
        <v>24400</v>
      </c>
      <c r="F4" s="6">
        <f t="shared" si="4"/>
        <v>29400</v>
      </c>
      <c r="G4" s="6">
        <f t="shared" si="5"/>
        <v>11600</v>
      </c>
      <c r="H4" s="6">
        <v>0</v>
      </c>
      <c r="I4" s="6">
        <f t="shared" si="6"/>
        <v>12800</v>
      </c>
    </row>
    <row r="5" ht="33.75" hidden="1" outlineLevel="1" spans="1:9">
      <c r="A5" s="4" t="s">
        <v>196</v>
      </c>
      <c r="B5" s="6">
        <f t="shared" si="0"/>
        <v>75000</v>
      </c>
      <c r="C5" s="6">
        <f t="shared" si="1"/>
        <v>20000</v>
      </c>
      <c r="D5" s="6">
        <f t="shared" si="2"/>
        <v>0</v>
      </c>
      <c r="E5" s="7">
        <f t="shared" si="3"/>
        <v>75000</v>
      </c>
      <c r="F5" s="6">
        <f t="shared" si="4"/>
        <v>95000</v>
      </c>
      <c r="G5" s="6">
        <f t="shared" si="5"/>
        <v>35800</v>
      </c>
      <c r="H5" s="6">
        <v>0</v>
      </c>
      <c r="I5" s="6">
        <f t="shared" si="6"/>
        <v>39200</v>
      </c>
    </row>
    <row r="6" ht="33.75" hidden="1" outlineLevel="1" spans="1:9">
      <c r="A6" s="4" t="s">
        <v>296</v>
      </c>
      <c r="B6" s="6">
        <f t="shared" si="0"/>
        <v>31400</v>
      </c>
      <c r="C6" s="6">
        <f t="shared" si="1"/>
        <v>18600</v>
      </c>
      <c r="D6" s="6">
        <f t="shared" si="2"/>
        <v>0</v>
      </c>
      <c r="E6" s="7">
        <f t="shared" si="3"/>
        <v>31400</v>
      </c>
      <c r="F6" s="6">
        <f t="shared" si="4"/>
        <v>50000</v>
      </c>
      <c r="G6" s="6">
        <f t="shared" si="5"/>
        <v>14200</v>
      </c>
      <c r="H6" s="6">
        <v>0</v>
      </c>
      <c r="I6" s="6">
        <f t="shared" si="6"/>
        <v>17200</v>
      </c>
    </row>
    <row r="7" ht="33.75" hidden="1" outlineLevel="1" spans="1:9">
      <c r="A7" s="4" t="s">
        <v>65</v>
      </c>
      <c r="B7" s="6">
        <f t="shared" si="0"/>
        <v>19700</v>
      </c>
      <c r="C7" s="6">
        <f t="shared" si="1"/>
        <v>8100</v>
      </c>
      <c r="D7" s="6">
        <f t="shared" si="2"/>
        <v>0</v>
      </c>
      <c r="E7" s="7">
        <f t="shared" si="3"/>
        <v>19700</v>
      </c>
      <c r="F7" s="6">
        <f t="shared" si="4"/>
        <v>27800</v>
      </c>
      <c r="G7" s="6">
        <f t="shared" si="5"/>
        <v>11200</v>
      </c>
      <c r="H7" s="6">
        <v>0</v>
      </c>
      <c r="I7" s="6">
        <f t="shared" si="6"/>
        <v>8500</v>
      </c>
    </row>
    <row r="8" ht="33.75" hidden="1" outlineLevel="1" spans="1:9">
      <c r="A8" s="4" t="s">
        <v>414</v>
      </c>
      <c r="B8" s="6">
        <f t="shared" si="0"/>
        <v>33000</v>
      </c>
      <c r="C8" s="6">
        <f t="shared" si="1"/>
        <v>19000</v>
      </c>
      <c r="D8" s="6">
        <f t="shared" si="2"/>
        <v>0</v>
      </c>
      <c r="E8" s="7">
        <f t="shared" si="3"/>
        <v>33000</v>
      </c>
      <c r="F8" s="6">
        <f t="shared" si="4"/>
        <v>52000</v>
      </c>
      <c r="G8" s="6">
        <f t="shared" si="5"/>
        <v>13400</v>
      </c>
      <c r="H8" s="6">
        <v>0</v>
      </c>
      <c r="I8" s="6">
        <f t="shared" si="6"/>
        <v>19600</v>
      </c>
    </row>
    <row r="9" ht="33.75" hidden="1" outlineLevel="1" spans="1:9">
      <c r="A9" s="4" t="s">
        <v>354</v>
      </c>
      <c r="B9" s="6">
        <f t="shared" si="0"/>
        <v>40600</v>
      </c>
      <c r="C9" s="6">
        <f t="shared" si="1"/>
        <v>4200</v>
      </c>
      <c r="D9" s="6">
        <f t="shared" si="2"/>
        <v>0</v>
      </c>
      <c r="E9" s="7">
        <f t="shared" si="3"/>
        <v>40600</v>
      </c>
      <c r="F9" s="6">
        <f t="shared" si="4"/>
        <v>44800</v>
      </c>
      <c r="G9" s="6">
        <f t="shared" si="5"/>
        <v>16300</v>
      </c>
      <c r="H9" s="6">
        <v>0</v>
      </c>
      <c r="I9" s="6">
        <f t="shared" si="6"/>
        <v>24300</v>
      </c>
    </row>
    <row r="10" ht="33.75" hidden="1" outlineLevel="1" spans="1:9">
      <c r="A10" s="8" t="s">
        <v>412</v>
      </c>
      <c r="B10" s="9">
        <f t="shared" ref="B10:I10" si="7">SUM(B3:B9)</f>
        <v>266100</v>
      </c>
      <c r="C10" s="10">
        <f t="shared" si="7"/>
        <v>81900</v>
      </c>
      <c r="D10" s="11">
        <f t="shared" si="7"/>
        <v>0</v>
      </c>
      <c r="E10" s="12">
        <f t="shared" si="7"/>
        <v>266100</v>
      </c>
      <c r="F10" s="13">
        <f t="shared" si="7"/>
        <v>348000</v>
      </c>
      <c r="G10" s="13">
        <f t="shared" si="7"/>
        <v>124600</v>
      </c>
      <c r="H10" s="11">
        <f t="shared" si="7"/>
        <v>0</v>
      </c>
      <c r="I10" s="13">
        <f t="shared" si="7"/>
        <v>141500</v>
      </c>
    </row>
    <row r="11" ht="21" collapsed="1" spans="1:10">
      <c r="A11" s="14" t="s">
        <v>415</v>
      </c>
      <c r="B11" s="15" t="s">
        <v>402</v>
      </c>
      <c r="C11" s="15" t="s">
        <v>416</v>
      </c>
      <c r="D11" s="16" t="s">
        <v>416</v>
      </c>
      <c r="E11" s="15" t="s">
        <v>417</v>
      </c>
      <c r="F11" s="14" t="s">
        <v>404</v>
      </c>
      <c r="G11" s="14" t="s">
        <v>405</v>
      </c>
      <c r="H11" s="16" t="s">
        <v>406</v>
      </c>
      <c r="I11" s="14" t="s">
        <v>408</v>
      </c>
      <c r="J11" s="14" t="s">
        <v>418</v>
      </c>
    </row>
    <row r="12" ht="21" spans="1:9">
      <c r="A12" s="17" t="s">
        <v>419</v>
      </c>
      <c r="B12" s="18" t="s">
        <v>9</v>
      </c>
      <c r="C12" s="19" t="s">
        <v>22</v>
      </c>
      <c r="D12" s="20">
        <v>800</v>
      </c>
      <c r="E12" s="19" t="s">
        <v>11</v>
      </c>
      <c r="F12" s="19">
        <v>1500</v>
      </c>
      <c r="G12" s="19">
        <v>500</v>
      </c>
      <c r="H12" s="19"/>
      <c r="I12" s="23">
        <f t="shared" ref="I12:I182" si="8">F12+G12-H12</f>
        <v>2000</v>
      </c>
    </row>
    <row r="13" ht="21" spans="1:9">
      <c r="A13" s="17" t="s">
        <v>420</v>
      </c>
      <c r="B13" s="18" t="s">
        <v>9</v>
      </c>
      <c r="C13" s="19" t="s">
        <v>22</v>
      </c>
      <c r="D13" s="20">
        <v>800</v>
      </c>
      <c r="E13" s="19" t="s">
        <v>11</v>
      </c>
      <c r="F13" s="19">
        <v>1500</v>
      </c>
      <c r="G13" s="19">
        <v>1500</v>
      </c>
      <c r="H13" s="19"/>
      <c r="I13" s="23">
        <f t="shared" si="8"/>
        <v>3000</v>
      </c>
    </row>
    <row r="14" ht="21" spans="1:9">
      <c r="A14" s="17" t="s">
        <v>421</v>
      </c>
      <c r="B14" s="18" t="s">
        <v>9</v>
      </c>
      <c r="C14" s="19" t="s">
        <v>10</v>
      </c>
      <c r="D14" s="20" t="s">
        <v>422</v>
      </c>
      <c r="E14" s="19" t="s">
        <v>11</v>
      </c>
      <c r="F14" s="19">
        <v>1000</v>
      </c>
      <c r="G14" s="19">
        <v>1000</v>
      </c>
      <c r="H14" s="19"/>
      <c r="I14" s="23">
        <f t="shared" si="8"/>
        <v>2000</v>
      </c>
    </row>
    <row r="15" ht="21" spans="1:9">
      <c r="A15" s="17" t="s">
        <v>423</v>
      </c>
      <c r="B15" s="18" t="s">
        <v>9</v>
      </c>
      <c r="C15" s="19" t="s">
        <v>10</v>
      </c>
      <c r="D15" s="20">
        <v>600</v>
      </c>
      <c r="E15" s="19" t="s">
        <v>11</v>
      </c>
      <c r="F15" s="19">
        <v>1300</v>
      </c>
      <c r="G15" s="19">
        <v>0</v>
      </c>
      <c r="H15" s="19"/>
      <c r="I15" s="23">
        <f t="shared" si="8"/>
        <v>1300</v>
      </c>
    </row>
    <row r="16" ht="21" spans="1:9">
      <c r="A16" s="17" t="s">
        <v>424</v>
      </c>
      <c r="B16" s="18" t="s">
        <v>9</v>
      </c>
      <c r="C16" s="19" t="s">
        <v>10</v>
      </c>
      <c r="D16" s="20">
        <v>600</v>
      </c>
      <c r="E16" s="19" t="s">
        <v>11</v>
      </c>
      <c r="F16" s="19">
        <v>1300</v>
      </c>
      <c r="G16" s="19">
        <v>0</v>
      </c>
      <c r="H16" s="19"/>
      <c r="I16" s="23">
        <f t="shared" si="8"/>
        <v>1300</v>
      </c>
    </row>
    <row r="17" ht="21" spans="1:9">
      <c r="A17" s="17" t="s">
        <v>425</v>
      </c>
      <c r="B17" s="18" t="s">
        <v>9</v>
      </c>
      <c r="C17" s="19" t="s">
        <v>22</v>
      </c>
      <c r="D17" s="20">
        <v>800</v>
      </c>
      <c r="E17" s="19" t="s">
        <v>11</v>
      </c>
      <c r="F17" s="19">
        <v>1400</v>
      </c>
      <c r="G17" s="19">
        <v>0</v>
      </c>
      <c r="H17" s="19"/>
      <c r="I17" s="23">
        <f t="shared" si="8"/>
        <v>1400</v>
      </c>
    </row>
    <row r="18" ht="21" spans="1:9">
      <c r="A18" s="17" t="s">
        <v>26</v>
      </c>
      <c r="B18" s="18" t="s">
        <v>9</v>
      </c>
      <c r="C18" s="19" t="s">
        <v>10</v>
      </c>
      <c r="D18" s="20">
        <v>600</v>
      </c>
      <c r="E18" s="19" t="s">
        <v>11</v>
      </c>
      <c r="F18" s="19">
        <v>1300</v>
      </c>
      <c r="G18" s="19">
        <v>0</v>
      </c>
      <c r="H18" s="19"/>
      <c r="I18" s="23">
        <f t="shared" si="8"/>
        <v>1300</v>
      </c>
    </row>
    <row r="19" ht="21" spans="1:9">
      <c r="A19" s="17" t="s">
        <v>28</v>
      </c>
      <c r="B19" s="18" t="s">
        <v>9</v>
      </c>
      <c r="C19" s="19" t="s">
        <v>10</v>
      </c>
      <c r="D19" s="20">
        <v>600</v>
      </c>
      <c r="E19" s="19" t="s">
        <v>11</v>
      </c>
      <c r="F19" s="19">
        <v>1300</v>
      </c>
      <c r="G19" s="19">
        <v>0</v>
      </c>
      <c r="H19" s="19"/>
      <c r="I19" s="23">
        <f t="shared" si="8"/>
        <v>1300</v>
      </c>
    </row>
    <row r="20" ht="21" spans="1:9">
      <c r="A20" s="17" t="s">
        <v>426</v>
      </c>
      <c r="B20" s="18" t="s">
        <v>9</v>
      </c>
      <c r="C20" s="19" t="s">
        <v>10</v>
      </c>
      <c r="D20" s="20">
        <v>600</v>
      </c>
      <c r="E20" s="19" t="s">
        <v>11</v>
      </c>
      <c r="F20" s="19">
        <v>1300</v>
      </c>
      <c r="G20" s="19">
        <v>0</v>
      </c>
      <c r="H20" s="19"/>
      <c r="I20" s="23">
        <f t="shared" si="8"/>
        <v>1300</v>
      </c>
    </row>
    <row r="21" ht="15.75" customHeight="1" spans="1:9">
      <c r="A21" s="17" t="s">
        <v>427</v>
      </c>
      <c r="B21" s="18" t="s">
        <v>9</v>
      </c>
      <c r="C21" s="19" t="s">
        <v>117</v>
      </c>
      <c r="D21" s="20">
        <v>1200</v>
      </c>
      <c r="E21" s="19" t="s">
        <v>11</v>
      </c>
      <c r="F21" s="19">
        <v>2000</v>
      </c>
      <c r="G21" s="19">
        <v>2000</v>
      </c>
      <c r="H21" s="19"/>
      <c r="I21" s="23">
        <f t="shared" si="8"/>
        <v>4000</v>
      </c>
    </row>
    <row r="22" ht="15.75" customHeight="1" spans="1:9">
      <c r="A22" s="17" t="s">
        <v>428</v>
      </c>
      <c r="B22" s="18" t="s">
        <v>9</v>
      </c>
      <c r="C22" s="19" t="s">
        <v>10</v>
      </c>
      <c r="D22" s="20">
        <v>600</v>
      </c>
      <c r="E22" s="19" t="s">
        <v>11</v>
      </c>
      <c r="F22" s="19">
        <v>1200</v>
      </c>
      <c r="G22" s="19">
        <v>0</v>
      </c>
      <c r="H22" s="19"/>
      <c r="I22" s="23">
        <f t="shared" si="8"/>
        <v>1200</v>
      </c>
    </row>
    <row r="23" ht="15.75" customHeight="1" spans="1:9">
      <c r="A23" s="17" t="s">
        <v>429</v>
      </c>
      <c r="B23" s="18" t="s">
        <v>9</v>
      </c>
      <c r="C23" s="19" t="s">
        <v>10</v>
      </c>
      <c r="D23" s="20">
        <v>600</v>
      </c>
      <c r="E23" s="19" t="s">
        <v>11</v>
      </c>
      <c r="F23" s="19">
        <v>1000</v>
      </c>
      <c r="G23" s="19">
        <v>0</v>
      </c>
      <c r="H23" s="19"/>
      <c r="I23" s="23">
        <f t="shared" si="8"/>
        <v>1000</v>
      </c>
    </row>
    <row r="24" ht="15.75" customHeight="1" spans="1:9">
      <c r="A24" s="17" t="s">
        <v>430</v>
      </c>
      <c r="B24" s="18" t="s">
        <v>9</v>
      </c>
      <c r="C24" s="19" t="s">
        <v>120</v>
      </c>
      <c r="D24" s="20">
        <v>1200</v>
      </c>
      <c r="E24" s="19" t="s">
        <v>11</v>
      </c>
      <c r="F24" s="19">
        <v>2000</v>
      </c>
      <c r="G24" s="19">
        <v>0</v>
      </c>
      <c r="H24" s="19"/>
      <c r="I24" s="23">
        <f t="shared" si="8"/>
        <v>2000</v>
      </c>
    </row>
    <row r="25" ht="15.75" customHeight="1" spans="1:9">
      <c r="A25" s="17" t="s">
        <v>431</v>
      </c>
      <c r="B25" s="18" t="s">
        <v>9</v>
      </c>
      <c r="C25" s="19" t="s">
        <v>117</v>
      </c>
      <c r="D25" s="20">
        <v>1200</v>
      </c>
      <c r="E25" s="19" t="s">
        <v>11</v>
      </c>
      <c r="F25" s="19">
        <v>2000</v>
      </c>
      <c r="G25" s="19">
        <v>0</v>
      </c>
      <c r="H25" s="19"/>
      <c r="I25" s="23">
        <f t="shared" si="8"/>
        <v>2000</v>
      </c>
    </row>
    <row r="26" ht="15.75" customHeight="1" spans="1:9">
      <c r="A26" s="17" t="s">
        <v>432</v>
      </c>
      <c r="B26" s="18" t="s">
        <v>9</v>
      </c>
      <c r="C26" s="19" t="s">
        <v>10</v>
      </c>
      <c r="D26" s="20">
        <v>600</v>
      </c>
      <c r="E26" s="19" t="s">
        <v>11</v>
      </c>
      <c r="F26" s="19">
        <v>1300</v>
      </c>
      <c r="G26" s="19">
        <v>0</v>
      </c>
      <c r="H26" s="19"/>
      <c r="I26" s="23">
        <f t="shared" si="8"/>
        <v>1300</v>
      </c>
    </row>
    <row r="27" ht="15.75" customHeight="1" spans="1:9">
      <c r="A27" s="17" t="s">
        <v>433</v>
      </c>
      <c r="B27" s="18" t="s">
        <v>9</v>
      </c>
      <c r="C27" s="19" t="s">
        <v>10</v>
      </c>
      <c r="D27" s="20">
        <v>600</v>
      </c>
      <c r="E27" s="19" t="s">
        <v>11</v>
      </c>
      <c r="F27" s="19">
        <v>1300</v>
      </c>
      <c r="G27" s="19">
        <v>0</v>
      </c>
      <c r="H27" s="19"/>
      <c r="I27" s="23">
        <f t="shared" si="8"/>
        <v>1300</v>
      </c>
    </row>
    <row r="28" ht="15.75" customHeight="1" spans="1:9">
      <c r="A28" s="17" t="s">
        <v>434</v>
      </c>
      <c r="B28" s="18" t="s">
        <v>9</v>
      </c>
      <c r="C28" s="19" t="s">
        <v>10</v>
      </c>
      <c r="D28" s="20">
        <v>600</v>
      </c>
      <c r="E28" s="19" t="s">
        <v>11</v>
      </c>
      <c r="F28" s="19">
        <v>1200</v>
      </c>
      <c r="G28" s="19">
        <v>0</v>
      </c>
      <c r="H28" s="19"/>
      <c r="I28" s="23">
        <f t="shared" si="8"/>
        <v>1200</v>
      </c>
    </row>
    <row r="29" ht="15.75" customHeight="1" spans="1:9">
      <c r="A29" s="17" t="s">
        <v>435</v>
      </c>
      <c r="B29" s="18" t="s">
        <v>9</v>
      </c>
      <c r="C29" s="19" t="s">
        <v>22</v>
      </c>
      <c r="D29" s="20">
        <v>600</v>
      </c>
      <c r="E29" s="19" t="s">
        <v>11</v>
      </c>
      <c r="F29" s="19">
        <v>1500</v>
      </c>
      <c r="G29" s="19">
        <v>0</v>
      </c>
      <c r="H29" s="19"/>
      <c r="I29" s="23">
        <f t="shared" si="8"/>
        <v>1500</v>
      </c>
    </row>
    <row r="30" ht="15.75" customHeight="1" spans="1:9">
      <c r="A30" s="17" t="s">
        <v>436</v>
      </c>
      <c r="B30" s="18" t="s">
        <v>9</v>
      </c>
      <c r="C30" s="19" t="s">
        <v>10</v>
      </c>
      <c r="D30" s="20">
        <v>600</v>
      </c>
      <c r="E30" s="19" t="s">
        <v>11</v>
      </c>
      <c r="F30" s="19">
        <v>1300</v>
      </c>
      <c r="G30" s="19">
        <v>0</v>
      </c>
      <c r="H30" s="19"/>
      <c r="I30" s="23">
        <f t="shared" si="8"/>
        <v>1300</v>
      </c>
    </row>
    <row r="31" ht="15.75" customHeight="1" spans="1:9">
      <c r="A31" s="17" t="s">
        <v>437</v>
      </c>
      <c r="B31" s="18" t="s">
        <v>9</v>
      </c>
      <c r="C31" s="19" t="s">
        <v>120</v>
      </c>
      <c r="D31" s="20">
        <v>1200</v>
      </c>
      <c r="E31" s="19" t="s">
        <v>11</v>
      </c>
      <c r="F31" s="19">
        <v>2000</v>
      </c>
      <c r="G31" s="19">
        <v>0</v>
      </c>
      <c r="H31" s="19"/>
      <c r="I31" s="23">
        <f t="shared" si="8"/>
        <v>2000</v>
      </c>
    </row>
    <row r="32" ht="15.75" customHeight="1" spans="1:9">
      <c r="A32" s="17" t="s">
        <v>50</v>
      </c>
      <c r="B32" s="18" t="s">
        <v>9</v>
      </c>
      <c r="C32" s="19" t="s">
        <v>22</v>
      </c>
      <c r="D32" s="20">
        <v>800</v>
      </c>
      <c r="E32" s="19" t="s">
        <v>11</v>
      </c>
      <c r="F32" s="19">
        <v>1500</v>
      </c>
      <c r="G32" s="19">
        <v>500</v>
      </c>
      <c r="H32" s="19"/>
      <c r="I32" s="23">
        <f t="shared" si="8"/>
        <v>2000</v>
      </c>
    </row>
    <row r="33" ht="15.75" customHeight="1" spans="1:10">
      <c r="A33" s="17" t="s">
        <v>438</v>
      </c>
      <c r="B33" s="18" t="s">
        <v>9</v>
      </c>
      <c r="C33" s="19" t="s">
        <v>22</v>
      </c>
      <c r="D33" s="20">
        <v>800</v>
      </c>
      <c r="E33" s="19" t="s">
        <v>11</v>
      </c>
      <c r="F33" s="19">
        <v>1500</v>
      </c>
      <c r="G33" s="19">
        <v>1500</v>
      </c>
      <c r="H33" s="19"/>
      <c r="I33" s="23">
        <f t="shared" si="8"/>
        <v>3000</v>
      </c>
      <c r="J33" s="24"/>
    </row>
    <row r="34" ht="15.75" customHeight="1" spans="1:26">
      <c r="A34" s="17" t="s">
        <v>439</v>
      </c>
      <c r="B34" s="18" t="s">
        <v>9</v>
      </c>
      <c r="C34" s="19" t="s">
        <v>440</v>
      </c>
      <c r="D34" s="20">
        <v>2500</v>
      </c>
      <c r="E34" s="19" t="s">
        <v>11</v>
      </c>
      <c r="F34" s="19">
        <v>3500</v>
      </c>
      <c r="G34" s="19">
        <v>0</v>
      </c>
      <c r="H34" s="19"/>
      <c r="I34" s="23">
        <f t="shared" si="8"/>
        <v>3500</v>
      </c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 spans="1:26">
      <c r="A35" s="17" t="s">
        <v>441</v>
      </c>
      <c r="B35" s="18" t="s">
        <v>9</v>
      </c>
      <c r="C35" s="19" t="s">
        <v>10</v>
      </c>
      <c r="D35" s="20">
        <v>600</v>
      </c>
      <c r="E35" s="19" t="s">
        <v>11</v>
      </c>
      <c r="F35" s="19">
        <v>1200</v>
      </c>
      <c r="G35" s="19">
        <v>0</v>
      </c>
      <c r="H35" s="19"/>
      <c r="I35" s="23">
        <f t="shared" si="8"/>
        <v>1200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 spans="1:26">
      <c r="A36" s="17" t="s">
        <v>442</v>
      </c>
      <c r="B36" s="18" t="s">
        <v>9</v>
      </c>
      <c r="C36" s="19" t="s">
        <v>10</v>
      </c>
      <c r="D36" s="20">
        <v>600</v>
      </c>
      <c r="E36" s="19" t="s">
        <v>11</v>
      </c>
      <c r="F36" s="19">
        <v>1000</v>
      </c>
      <c r="G36" s="19">
        <v>0</v>
      </c>
      <c r="H36" s="19"/>
      <c r="I36" s="23">
        <f t="shared" si="8"/>
        <v>1000</v>
      </c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 spans="1:26">
      <c r="A37" s="17" t="s">
        <v>443</v>
      </c>
      <c r="B37" s="18" t="s">
        <v>9</v>
      </c>
      <c r="C37" s="19" t="s">
        <v>117</v>
      </c>
      <c r="D37" s="20">
        <v>1200</v>
      </c>
      <c r="E37" s="19" t="s">
        <v>11</v>
      </c>
      <c r="F37" s="19">
        <v>2000</v>
      </c>
      <c r="G37" s="19">
        <v>0</v>
      </c>
      <c r="H37" s="19"/>
      <c r="I37" s="23">
        <f t="shared" si="8"/>
        <v>2000</v>
      </c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 spans="1:26">
      <c r="A38" s="17" t="s">
        <v>444</v>
      </c>
      <c r="B38" s="18" t="s">
        <v>9</v>
      </c>
      <c r="C38" s="19" t="s">
        <v>10</v>
      </c>
      <c r="D38" s="20">
        <v>600</v>
      </c>
      <c r="E38" s="19" t="s">
        <v>11</v>
      </c>
      <c r="F38" s="19">
        <v>1300</v>
      </c>
      <c r="G38" s="19">
        <v>0</v>
      </c>
      <c r="H38" s="19"/>
      <c r="I38" s="23">
        <f t="shared" si="8"/>
        <v>1300</v>
      </c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 spans="1:26">
      <c r="A39" s="17" t="s">
        <v>445</v>
      </c>
      <c r="B39" s="18" t="s">
        <v>9</v>
      </c>
      <c r="C39" s="19" t="s">
        <v>10</v>
      </c>
      <c r="D39" s="20">
        <v>600</v>
      </c>
      <c r="E39" s="19" t="s">
        <v>11</v>
      </c>
      <c r="F39" s="19">
        <v>1300</v>
      </c>
      <c r="G39" s="19">
        <v>0</v>
      </c>
      <c r="H39" s="19"/>
      <c r="I39" s="23">
        <f t="shared" si="8"/>
        <v>1300</v>
      </c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 spans="1:26">
      <c r="A40" s="21" t="s">
        <v>446</v>
      </c>
      <c r="B40" s="17" t="s">
        <v>167</v>
      </c>
      <c r="C40" s="19" t="s">
        <v>10</v>
      </c>
      <c r="D40" s="20">
        <v>600</v>
      </c>
      <c r="E40" s="19" t="s">
        <v>11</v>
      </c>
      <c r="F40" s="19">
        <v>1000</v>
      </c>
      <c r="G40" s="19">
        <v>0</v>
      </c>
      <c r="H40" s="19"/>
      <c r="I40" s="23">
        <f t="shared" si="8"/>
        <v>1000</v>
      </c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 spans="1:26">
      <c r="A41" s="21" t="s">
        <v>447</v>
      </c>
      <c r="B41" s="17" t="s">
        <v>167</v>
      </c>
      <c r="C41" s="19" t="s">
        <v>117</v>
      </c>
      <c r="D41" s="20">
        <v>1200</v>
      </c>
      <c r="E41" s="19" t="s">
        <v>11</v>
      </c>
      <c r="F41" s="19">
        <v>2000</v>
      </c>
      <c r="G41" s="19">
        <v>1000</v>
      </c>
      <c r="H41" s="19"/>
      <c r="I41" s="23">
        <f t="shared" si="8"/>
        <v>3000</v>
      </c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 spans="1:26">
      <c r="A42" s="21" t="s">
        <v>448</v>
      </c>
      <c r="B42" s="17" t="s">
        <v>167</v>
      </c>
      <c r="C42" s="19" t="s">
        <v>22</v>
      </c>
      <c r="D42" s="20">
        <v>800</v>
      </c>
      <c r="E42" s="19" t="s">
        <v>11</v>
      </c>
      <c r="F42" s="19">
        <v>1500</v>
      </c>
      <c r="G42" s="19">
        <v>0</v>
      </c>
      <c r="H42" s="19"/>
      <c r="I42" s="23">
        <f t="shared" si="8"/>
        <v>1500</v>
      </c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 spans="1:26">
      <c r="A43" s="21" t="s">
        <v>449</v>
      </c>
      <c r="B43" s="17" t="s">
        <v>167</v>
      </c>
      <c r="C43" s="19" t="s">
        <v>10</v>
      </c>
      <c r="D43" s="20">
        <v>600</v>
      </c>
      <c r="E43" s="19" t="s">
        <v>11</v>
      </c>
      <c r="F43" s="19">
        <v>1300</v>
      </c>
      <c r="G43" s="19">
        <v>0</v>
      </c>
      <c r="H43" s="19"/>
      <c r="I43" s="23">
        <f t="shared" si="8"/>
        <v>1300</v>
      </c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 spans="1:26">
      <c r="A44" s="21" t="s">
        <v>450</v>
      </c>
      <c r="B44" s="17" t="s">
        <v>167</v>
      </c>
      <c r="C44" s="19" t="s">
        <v>22</v>
      </c>
      <c r="D44" s="20">
        <v>600</v>
      </c>
      <c r="E44" s="19" t="s">
        <v>11</v>
      </c>
      <c r="F44" s="19">
        <v>1500</v>
      </c>
      <c r="G44" s="19">
        <v>0</v>
      </c>
      <c r="H44" s="19"/>
      <c r="I44" s="23">
        <f t="shared" si="8"/>
        <v>1500</v>
      </c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 spans="1:26">
      <c r="A45" s="21" t="s">
        <v>451</v>
      </c>
      <c r="B45" s="17" t="s">
        <v>167</v>
      </c>
      <c r="C45" s="19" t="s">
        <v>10</v>
      </c>
      <c r="D45" s="20">
        <v>600</v>
      </c>
      <c r="E45" s="19" t="s">
        <v>11</v>
      </c>
      <c r="F45" s="19">
        <v>1300</v>
      </c>
      <c r="G45" s="19">
        <v>0</v>
      </c>
      <c r="H45" s="19"/>
      <c r="I45" s="23">
        <f t="shared" si="8"/>
        <v>1300</v>
      </c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 spans="1:26">
      <c r="A46" s="21" t="s">
        <v>179</v>
      </c>
      <c r="B46" s="17" t="s">
        <v>167</v>
      </c>
      <c r="C46" s="19" t="s">
        <v>117</v>
      </c>
      <c r="D46" s="20">
        <v>800</v>
      </c>
      <c r="E46" s="19" t="s">
        <v>11</v>
      </c>
      <c r="F46" s="19">
        <v>2000</v>
      </c>
      <c r="G46" s="19">
        <v>2000</v>
      </c>
      <c r="H46" s="19"/>
      <c r="I46" s="23">
        <f t="shared" si="8"/>
        <v>4000</v>
      </c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 spans="1:26">
      <c r="A47" s="21" t="s">
        <v>452</v>
      </c>
      <c r="B47" s="17" t="s">
        <v>167</v>
      </c>
      <c r="C47" s="19" t="s">
        <v>117</v>
      </c>
      <c r="D47" s="20">
        <v>800</v>
      </c>
      <c r="E47" s="19" t="s">
        <v>11</v>
      </c>
      <c r="F47" s="19">
        <v>2200</v>
      </c>
      <c r="G47" s="19">
        <v>0</v>
      </c>
      <c r="H47" s="19"/>
      <c r="I47" s="23">
        <f t="shared" si="8"/>
        <v>2200</v>
      </c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 spans="1:26">
      <c r="A48" s="21" t="s">
        <v>453</v>
      </c>
      <c r="B48" s="17" t="s">
        <v>167</v>
      </c>
      <c r="C48" s="19" t="s">
        <v>10</v>
      </c>
      <c r="D48" s="20">
        <v>600</v>
      </c>
      <c r="E48" s="19" t="s">
        <v>11</v>
      </c>
      <c r="F48" s="19">
        <v>1300</v>
      </c>
      <c r="G48" s="19">
        <v>0</v>
      </c>
      <c r="H48" s="19"/>
      <c r="I48" s="23">
        <f t="shared" si="8"/>
        <v>1300</v>
      </c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 spans="1:26">
      <c r="A49" s="21" t="s">
        <v>454</v>
      </c>
      <c r="B49" s="17" t="s">
        <v>167</v>
      </c>
      <c r="C49" s="19" t="s">
        <v>10</v>
      </c>
      <c r="D49" s="20">
        <v>600</v>
      </c>
      <c r="E49" s="19" t="s">
        <v>11</v>
      </c>
      <c r="F49" s="19">
        <v>1300</v>
      </c>
      <c r="G49" s="19">
        <v>0</v>
      </c>
      <c r="H49" s="19"/>
      <c r="I49" s="23">
        <f t="shared" si="8"/>
        <v>1300</v>
      </c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 spans="1:26">
      <c r="A50" s="21" t="s">
        <v>455</v>
      </c>
      <c r="B50" s="17" t="s">
        <v>167</v>
      </c>
      <c r="C50" s="19" t="s">
        <v>10</v>
      </c>
      <c r="D50" s="20">
        <v>600</v>
      </c>
      <c r="E50" s="19" t="s">
        <v>11</v>
      </c>
      <c r="F50" s="19">
        <v>1000</v>
      </c>
      <c r="G50" s="19">
        <v>0</v>
      </c>
      <c r="H50" s="19"/>
      <c r="I50" s="23">
        <f t="shared" si="8"/>
        <v>1000</v>
      </c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 spans="1:26">
      <c r="A51" s="21" t="s">
        <v>456</v>
      </c>
      <c r="B51" s="17" t="s">
        <v>167</v>
      </c>
      <c r="C51" s="19" t="s">
        <v>117</v>
      </c>
      <c r="D51" s="20">
        <v>1200</v>
      </c>
      <c r="E51" s="19" t="s">
        <v>11</v>
      </c>
      <c r="F51" s="19">
        <v>2200</v>
      </c>
      <c r="G51" s="19">
        <v>0</v>
      </c>
      <c r="H51" s="19"/>
      <c r="I51" s="23">
        <f t="shared" si="8"/>
        <v>2200</v>
      </c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 spans="1:26">
      <c r="A52" s="21" t="s">
        <v>457</v>
      </c>
      <c r="B52" s="17" t="s">
        <v>167</v>
      </c>
      <c r="C52" s="19" t="s">
        <v>10</v>
      </c>
      <c r="D52" s="20">
        <v>600</v>
      </c>
      <c r="E52" s="19" t="s">
        <v>11</v>
      </c>
      <c r="F52" s="19">
        <v>1300</v>
      </c>
      <c r="G52" s="19">
        <v>0</v>
      </c>
      <c r="H52" s="19"/>
      <c r="I52" s="23">
        <f t="shared" si="8"/>
        <v>1300</v>
      </c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 spans="1:26">
      <c r="A53" s="21" t="s">
        <v>458</v>
      </c>
      <c r="B53" s="17" t="s">
        <v>167</v>
      </c>
      <c r="C53" s="19" t="s">
        <v>117</v>
      </c>
      <c r="D53" s="20">
        <v>600</v>
      </c>
      <c r="E53" s="19" t="s">
        <v>11</v>
      </c>
      <c r="F53" s="19">
        <v>2000</v>
      </c>
      <c r="G53" s="19">
        <v>2000</v>
      </c>
      <c r="H53" s="19"/>
      <c r="I53" s="23">
        <f t="shared" si="8"/>
        <v>4000</v>
      </c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 spans="1:26">
      <c r="A54" s="21" t="s">
        <v>459</v>
      </c>
      <c r="B54" s="17" t="s">
        <v>167</v>
      </c>
      <c r="C54" s="19" t="s">
        <v>83</v>
      </c>
      <c r="D54" s="20">
        <v>600</v>
      </c>
      <c r="E54" s="19" t="s">
        <v>11</v>
      </c>
      <c r="F54" s="19">
        <v>1000</v>
      </c>
      <c r="G54" s="19">
        <v>0</v>
      </c>
      <c r="H54" s="19"/>
      <c r="I54" s="23">
        <f t="shared" si="8"/>
        <v>1000</v>
      </c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 spans="1:26">
      <c r="A55" s="21" t="s">
        <v>460</v>
      </c>
      <c r="B55" s="17" t="s">
        <v>167</v>
      </c>
      <c r="C55" s="19" t="s">
        <v>22</v>
      </c>
      <c r="D55" s="20">
        <v>800</v>
      </c>
      <c r="E55" s="19" t="s">
        <v>11</v>
      </c>
      <c r="F55" s="19">
        <v>1500</v>
      </c>
      <c r="G55" s="19">
        <v>0</v>
      </c>
      <c r="H55" s="19"/>
      <c r="I55" s="23">
        <f t="shared" si="8"/>
        <v>1500</v>
      </c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 spans="1:26">
      <c r="A56" s="22" t="s">
        <v>461</v>
      </c>
      <c r="B56" s="21" t="s">
        <v>65</v>
      </c>
      <c r="C56" s="19" t="s">
        <v>10</v>
      </c>
      <c r="D56" s="20">
        <v>600</v>
      </c>
      <c r="E56" s="19" t="s">
        <v>11</v>
      </c>
      <c r="F56" s="19">
        <v>1000</v>
      </c>
      <c r="G56" s="19">
        <v>0</v>
      </c>
      <c r="H56" s="19"/>
      <c r="I56" s="23">
        <f t="shared" si="8"/>
        <v>1000</v>
      </c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 spans="1:26">
      <c r="A57" s="22" t="s">
        <v>462</v>
      </c>
      <c r="B57" s="21" t="s">
        <v>65</v>
      </c>
      <c r="C57" s="19" t="s">
        <v>10</v>
      </c>
      <c r="D57" s="20">
        <v>600</v>
      </c>
      <c r="E57" s="19" t="s">
        <v>11</v>
      </c>
      <c r="F57" s="19">
        <v>800</v>
      </c>
      <c r="G57" s="19">
        <v>0</v>
      </c>
      <c r="H57" s="19"/>
      <c r="I57" s="23">
        <f t="shared" si="8"/>
        <v>800</v>
      </c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 spans="1:26">
      <c r="A58" s="22" t="s">
        <v>463</v>
      </c>
      <c r="B58" s="21" t="s">
        <v>65</v>
      </c>
      <c r="C58" s="19" t="s">
        <v>10</v>
      </c>
      <c r="D58" s="20">
        <v>600</v>
      </c>
      <c r="E58" s="19" t="s">
        <v>11</v>
      </c>
      <c r="F58" s="19">
        <v>1200</v>
      </c>
      <c r="G58" s="19">
        <v>1600</v>
      </c>
      <c r="H58" s="19"/>
      <c r="I58" s="23">
        <f t="shared" si="8"/>
        <v>2800</v>
      </c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 spans="1:26">
      <c r="A59" s="22" t="s">
        <v>464</v>
      </c>
      <c r="B59" s="21" t="s">
        <v>65</v>
      </c>
      <c r="C59" s="19" t="s">
        <v>10</v>
      </c>
      <c r="D59" s="20">
        <v>600</v>
      </c>
      <c r="E59" s="19" t="s">
        <v>11</v>
      </c>
      <c r="F59" s="19">
        <v>1300</v>
      </c>
      <c r="G59" s="19">
        <v>0</v>
      </c>
      <c r="H59" s="19"/>
      <c r="I59" s="23">
        <f t="shared" si="8"/>
        <v>1300</v>
      </c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 spans="1:26">
      <c r="A60" s="22" t="s">
        <v>465</v>
      </c>
      <c r="B60" s="21" t="s">
        <v>65</v>
      </c>
      <c r="C60" s="19" t="s">
        <v>10</v>
      </c>
      <c r="D60" s="20">
        <v>600</v>
      </c>
      <c r="E60" s="19" t="s">
        <v>11</v>
      </c>
      <c r="F60" s="19">
        <v>1000</v>
      </c>
      <c r="G60" s="19">
        <v>0</v>
      </c>
      <c r="H60" s="19"/>
      <c r="I60" s="23">
        <f t="shared" si="8"/>
        <v>1000</v>
      </c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 spans="1:26">
      <c r="A61" s="22" t="s">
        <v>466</v>
      </c>
      <c r="B61" s="21" t="s">
        <v>65</v>
      </c>
      <c r="C61" s="19" t="s">
        <v>10</v>
      </c>
      <c r="D61" s="20">
        <v>600</v>
      </c>
      <c r="E61" s="19" t="s">
        <v>11</v>
      </c>
      <c r="F61" s="19">
        <v>1000</v>
      </c>
      <c r="G61" s="19">
        <v>1000</v>
      </c>
      <c r="H61" s="19"/>
      <c r="I61" s="23">
        <f t="shared" si="8"/>
        <v>2000</v>
      </c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 spans="1:26">
      <c r="A62" s="22" t="s">
        <v>467</v>
      </c>
      <c r="B62" s="21" t="s">
        <v>65</v>
      </c>
      <c r="C62" s="19" t="s">
        <v>10</v>
      </c>
      <c r="D62" s="20">
        <v>600</v>
      </c>
      <c r="E62" s="19" t="s">
        <v>11</v>
      </c>
      <c r="F62" s="19">
        <v>1200</v>
      </c>
      <c r="G62" s="19">
        <v>0</v>
      </c>
      <c r="H62" s="19"/>
      <c r="I62" s="23">
        <f t="shared" si="8"/>
        <v>1200</v>
      </c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 spans="1:26">
      <c r="A63" s="22" t="s">
        <v>468</v>
      </c>
      <c r="B63" s="21" t="s">
        <v>65</v>
      </c>
      <c r="C63" s="19" t="s">
        <v>10</v>
      </c>
      <c r="D63" s="20">
        <v>600</v>
      </c>
      <c r="E63" s="19" t="s">
        <v>11</v>
      </c>
      <c r="F63" s="19">
        <v>1000</v>
      </c>
      <c r="G63" s="19">
        <v>0</v>
      </c>
      <c r="H63" s="19"/>
      <c r="I63" s="23">
        <f t="shared" si="8"/>
        <v>1000</v>
      </c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 spans="1:26">
      <c r="A64" s="22" t="s">
        <v>304</v>
      </c>
      <c r="B64" s="21" t="s">
        <v>65</v>
      </c>
      <c r="C64" s="19" t="s">
        <v>10</v>
      </c>
      <c r="D64" s="20">
        <v>600</v>
      </c>
      <c r="E64" s="19" t="s">
        <v>11</v>
      </c>
      <c r="F64" s="19">
        <v>600</v>
      </c>
      <c r="G64" s="19">
        <v>0</v>
      </c>
      <c r="H64" s="19"/>
      <c r="I64" s="23">
        <f t="shared" si="8"/>
        <v>600</v>
      </c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 spans="1:26">
      <c r="A65" s="22" t="s">
        <v>469</v>
      </c>
      <c r="B65" s="21" t="s">
        <v>65</v>
      </c>
      <c r="C65" s="19" t="s">
        <v>10</v>
      </c>
      <c r="D65" s="20">
        <v>600</v>
      </c>
      <c r="E65" s="19" t="s">
        <v>11</v>
      </c>
      <c r="F65" s="19">
        <v>800</v>
      </c>
      <c r="G65" s="19">
        <v>0</v>
      </c>
      <c r="H65" s="19"/>
      <c r="I65" s="23">
        <f t="shared" si="8"/>
        <v>800</v>
      </c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 spans="1:26">
      <c r="A66" s="22" t="s">
        <v>89</v>
      </c>
      <c r="B66" s="21" t="s">
        <v>65</v>
      </c>
      <c r="C66" s="19" t="s">
        <v>10</v>
      </c>
      <c r="D66" s="20">
        <v>600</v>
      </c>
      <c r="E66" s="19" t="s">
        <v>11</v>
      </c>
      <c r="F66" s="19">
        <v>1300</v>
      </c>
      <c r="G66" s="19">
        <v>1300</v>
      </c>
      <c r="H66" s="19"/>
      <c r="I66" s="23">
        <f t="shared" si="8"/>
        <v>2600</v>
      </c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 spans="1:26">
      <c r="A67" s="22" t="s">
        <v>470</v>
      </c>
      <c r="B67" s="21" t="s">
        <v>65</v>
      </c>
      <c r="C67" s="19" t="s">
        <v>22</v>
      </c>
      <c r="D67" s="20">
        <v>800</v>
      </c>
      <c r="E67" s="19" t="s">
        <v>11</v>
      </c>
      <c r="F67" s="19">
        <v>1500</v>
      </c>
      <c r="G67" s="19">
        <v>1500</v>
      </c>
      <c r="H67" s="19"/>
      <c r="I67" s="23">
        <f t="shared" si="8"/>
        <v>3000</v>
      </c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 spans="1:26">
      <c r="A68" s="22" t="s">
        <v>471</v>
      </c>
      <c r="B68" s="21" t="s">
        <v>65</v>
      </c>
      <c r="C68" s="19" t="s">
        <v>10</v>
      </c>
      <c r="D68" s="20">
        <v>600</v>
      </c>
      <c r="E68" s="19" t="s">
        <v>11</v>
      </c>
      <c r="F68" s="19">
        <v>1200</v>
      </c>
      <c r="G68" s="19">
        <v>1200</v>
      </c>
      <c r="H68" s="19"/>
      <c r="I68" s="23">
        <f t="shared" si="8"/>
        <v>2400</v>
      </c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 spans="1:26">
      <c r="A69" s="22" t="s">
        <v>472</v>
      </c>
      <c r="B69" s="21" t="s">
        <v>65</v>
      </c>
      <c r="C69" s="19" t="s">
        <v>10</v>
      </c>
      <c r="D69" s="20">
        <v>600</v>
      </c>
      <c r="E69" s="19" t="s">
        <v>11</v>
      </c>
      <c r="F69" s="19">
        <v>1300</v>
      </c>
      <c r="G69" s="19">
        <v>0</v>
      </c>
      <c r="H69" s="19"/>
      <c r="I69" s="23">
        <f t="shared" si="8"/>
        <v>1300</v>
      </c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 spans="1:26">
      <c r="A70" s="22" t="s">
        <v>473</v>
      </c>
      <c r="B70" s="21" t="s">
        <v>65</v>
      </c>
      <c r="C70" s="19" t="s">
        <v>120</v>
      </c>
      <c r="D70" s="20">
        <v>800</v>
      </c>
      <c r="E70" s="19" t="s">
        <v>11</v>
      </c>
      <c r="F70" s="19">
        <v>1500</v>
      </c>
      <c r="G70" s="19">
        <v>1500</v>
      </c>
      <c r="H70" s="19"/>
      <c r="I70" s="23">
        <f t="shared" si="8"/>
        <v>3000</v>
      </c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 spans="1:26">
      <c r="A71" s="22" t="s">
        <v>474</v>
      </c>
      <c r="B71" s="21" t="s">
        <v>65</v>
      </c>
      <c r="C71" s="19" t="s">
        <v>10</v>
      </c>
      <c r="D71" s="20">
        <v>600</v>
      </c>
      <c r="E71" s="19" t="s">
        <v>11</v>
      </c>
      <c r="F71" s="19">
        <v>1000</v>
      </c>
      <c r="G71" s="19">
        <v>0</v>
      </c>
      <c r="H71" s="19"/>
      <c r="I71" s="23">
        <f t="shared" si="8"/>
        <v>1000</v>
      </c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 spans="1:26">
      <c r="A72" s="22" t="s">
        <v>475</v>
      </c>
      <c r="B72" s="21" t="s">
        <v>65</v>
      </c>
      <c r="C72" s="19" t="s">
        <v>10</v>
      </c>
      <c r="D72" s="20">
        <v>600</v>
      </c>
      <c r="E72" s="19" t="s">
        <v>11</v>
      </c>
      <c r="F72" s="19">
        <v>1000</v>
      </c>
      <c r="G72" s="19">
        <v>0</v>
      </c>
      <c r="H72" s="19"/>
      <c r="I72" s="23">
        <f t="shared" si="8"/>
        <v>1000</v>
      </c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 spans="1:26">
      <c r="A73" s="22" t="s">
        <v>97</v>
      </c>
      <c r="B73" s="21" t="s">
        <v>65</v>
      </c>
      <c r="C73" s="19" t="s">
        <v>10</v>
      </c>
      <c r="D73" s="20">
        <v>600</v>
      </c>
      <c r="E73" s="19" t="s">
        <v>11</v>
      </c>
      <c r="F73" s="19">
        <v>1000</v>
      </c>
      <c r="G73" s="19">
        <v>0</v>
      </c>
      <c r="H73" s="19"/>
      <c r="I73" s="23">
        <f t="shared" si="8"/>
        <v>1000</v>
      </c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 spans="1:26">
      <c r="A74" s="25" t="s">
        <v>476</v>
      </c>
      <c r="B74" s="22" t="s">
        <v>196</v>
      </c>
      <c r="C74" s="19" t="s">
        <v>10</v>
      </c>
      <c r="D74" s="20">
        <v>600</v>
      </c>
      <c r="E74" s="19" t="s">
        <v>11</v>
      </c>
      <c r="F74" s="19">
        <v>1300</v>
      </c>
      <c r="G74" s="19">
        <v>1300</v>
      </c>
      <c r="H74" s="19"/>
      <c r="I74" s="23">
        <f t="shared" si="8"/>
        <v>2600</v>
      </c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 spans="1:26">
      <c r="A75" s="25" t="s">
        <v>477</v>
      </c>
      <c r="B75" s="22" t="s">
        <v>196</v>
      </c>
      <c r="C75" s="19" t="s">
        <v>10</v>
      </c>
      <c r="D75" s="20">
        <v>600</v>
      </c>
      <c r="E75" s="19" t="s">
        <v>11</v>
      </c>
      <c r="F75" s="19">
        <v>1300</v>
      </c>
      <c r="G75" s="19">
        <v>0</v>
      </c>
      <c r="H75" s="19"/>
      <c r="I75" s="23">
        <f t="shared" si="8"/>
        <v>1300</v>
      </c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 spans="1:26">
      <c r="A76" s="25" t="s">
        <v>478</v>
      </c>
      <c r="B76" s="22" t="s">
        <v>196</v>
      </c>
      <c r="C76" s="19" t="s">
        <v>22</v>
      </c>
      <c r="D76" s="20">
        <v>600</v>
      </c>
      <c r="E76" s="19" t="s">
        <v>11</v>
      </c>
      <c r="F76" s="19">
        <v>1500</v>
      </c>
      <c r="G76" s="19">
        <v>0</v>
      </c>
      <c r="H76" s="19"/>
      <c r="I76" s="23">
        <f t="shared" si="8"/>
        <v>1500</v>
      </c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 spans="1:26">
      <c r="A77" s="25" t="s">
        <v>479</v>
      </c>
      <c r="B77" s="22" t="s">
        <v>196</v>
      </c>
      <c r="C77" s="19" t="s">
        <v>22</v>
      </c>
      <c r="D77" s="20">
        <v>800</v>
      </c>
      <c r="E77" s="19" t="s">
        <v>11</v>
      </c>
      <c r="F77" s="19">
        <v>1800</v>
      </c>
      <c r="G77" s="19">
        <v>0</v>
      </c>
      <c r="H77" s="26"/>
      <c r="I77" s="23">
        <f t="shared" si="8"/>
        <v>1800</v>
      </c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 spans="1:26">
      <c r="A78" s="25" t="s">
        <v>480</v>
      </c>
      <c r="B78" s="22" t="s">
        <v>196</v>
      </c>
      <c r="C78" s="19" t="s">
        <v>117</v>
      </c>
      <c r="D78" s="20">
        <v>1200</v>
      </c>
      <c r="E78" s="19" t="s">
        <v>11</v>
      </c>
      <c r="F78" s="19">
        <v>2000</v>
      </c>
      <c r="G78" s="19">
        <v>0</v>
      </c>
      <c r="H78" s="19"/>
      <c r="I78" s="23">
        <f t="shared" si="8"/>
        <v>2000</v>
      </c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 spans="1:26">
      <c r="A79" s="25" t="s">
        <v>481</v>
      </c>
      <c r="B79" s="22" t="s">
        <v>196</v>
      </c>
      <c r="C79" s="19" t="s">
        <v>120</v>
      </c>
      <c r="D79" s="20">
        <v>800</v>
      </c>
      <c r="E79" s="19" t="s">
        <v>11</v>
      </c>
      <c r="F79" s="19">
        <v>2000</v>
      </c>
      <c r="G79" s="19">
        <v>0</v>
      </c>
      <c r="H79" s="19"/>
      <c r="I79" s="23">
        <f t="shared" si="8"/>
        <v>2000</v>
      </c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 spans="1:26">
      <c r="A80" s="25" t="s">
        <v>482</v>
      </c>
      <c r="B80" s="22" t="s">
        <v>196</v>
      </c>
      <c r="C80" s="19" t="s">
        <v>10</v>
      </c>
      <c r="D80" s="20">
        <v>600</v>
      </c>
      <c r="E80" s="19" t="s">
        <v>11</v>
      </c>
      <c r="F80" s="19">
        <v>1100</v>
      </c>
      <c r="G80" s="19">
        <v>0</v>
      </c>
      <c r="H80" s="19"/>
      <c r="I80" s="23">
        <f t="shared" si="8"/>
        <v>1100</v>
      </c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 spans="1:26">
      <c r="A81" s="25" t="s">
        <v>483</v>
      </c>
      <c r="B81" s="22" t="s">
        <v>196</v>
      </c>
      <c r="C81" s="19" t="s">
        <v>10</v>
      </c>
      <c r="D81" s="20">
        <v>600</v>
      </c>
      <c r="E81" s="19" t="s">
        <v>11</v>
      </c>
      <c r="F81" s="19">
        <v>1500</v>
      </c>
      <c r="G81" s="19">
        <v>0</v>
      </c>
      <c r="H81" s="19"/>
      <c r="I81" s="23">
        <f t="shared" si="8"/>
        <v>1500</v>
      </c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 spans="1:26">
      <c r="A82" s="25" t="s">
        <v>484</v>
      </c>
      <c r="B82" s="22" t="s">
        <v>196</v>
      </c>
      <c r="C82" s="19" t="s">
        <v>117</v>
      </c>
      <c r="D82" s="20">
        <v>600</v>
      </c>
      <c r="E82" s="19" t="s">
        <v>11</v>
      </c>
      <c r="F82" s="19">
        <v>2000</v>
      </c>
      <c r="G82" s="19">
        <v>2000</v>
      </c>
      <c r="H82" s="19"/>
      <c r="I82" s="23">
        <f t="shared" si="8"/>
        <v>4000</v>
      </c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 spans="1:26">
      <c r="A83" s="25" t="s">
        <v>485</v>
      </c>
      <c r="B83" s="22" t="s">
        <v>196</v>
      </c>
      <c r="C83" s="19" t="s">
        <v>10</v>
      </c>
      <c r="D83" s="20">
        <v>600</v>
      </c>
      <c r="E83" s="19" t="s">
        <v>11</v>
      </c>
      <c r="F83" s="19">
        <v>1000</v>
      </c>
      <c r="G83" s="19">
        <v>1000</v>
      </c>
      <c r="H83" s="19"/>
      <c r="I83" s="23">
        <f t="shared" si="8"/>
        <v>2000</v>
      </c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 spans="1:26">
      <c r="A84" s="25" t="s">
        <v>486</v>
      </c>
      <c r="B84" s="22" t="s">
        <v>196</v>
      </c>
      <c r="C84" s="19" t="s">
        <v>10</v>
      </c>
      <c r="D84" s="20">
        <v>600</v>
      </c>
      <c r="E84" s="19" t="s">
        <v>11</v>
      </c>
      <c r="F84" s="19">
        <v>1100</v>
      </c>
      <c r="G84" s="19">
        <v>0</v>
      </c>
      <c r="H84" s="19"/>
      <c r="I84" s="23">
        <f t="shared" si="8"/>
        <v>1100</v>
      </c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 spans="1:26">
      <c r="A85" s="25" t="s">
        <v>487</v>
      </c>
      <c r="B85" s="22" t="s">
        <v>196</v>
      </c>
      <c r="C85" s="19" t="s">
        <v>10</v>
      </c>
      <c r="D85" s="20">
        <v>800</v>
      </c>
      <c r="E85" s="19" t="s">
        <v>11</v>
      </c>
      <c r="F85" s="19">
        <v>1200</v>
      </c>
      <c r="G85" s="19">
        <v>0</v>
      </c>
      <c r="H85" s="19"/>
      <c r="I85" s="23">
        <f t="shared" si="8"/>
        <v>1200</v>
      </c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 spans="1:26">
      <c r="A86" s="25" t="s">
        <v>488</v>
      </c>
      <c r="B86" s="22" t="s">
        <v>196</v>
      </c>
      <c r="C86" s="19" t="s">
        <v>10</v>
      </c>
      <c r="D86" s="20">
        <v>600</v>
      </c>
      <c r="E86" s="19" t="s">
        <v>11</v>
      </c>
      <c r="F86" s="19">
        <v>1500</v>
      </c>
      <c r="G86" s="19">
        <v>0</v>
      </c>
      <c r="H86" s="19"/>
      <c r="I86" s="23">
        <f t="shared" si="8"/>
        <v>1500</v>
      </c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 spans="1:26">
      <c r="A87" s="25" t="s">
        <v>489</v>
      </c>
      <c r="B87" s="22" t="s">
        <v>196</v>
      </c>
      <c r="C87" s="19" t="s">
        <v>22</v>
      </c>
      <c r="D87" s="20">
        <v>600</v>
      </c>
      <c r="E87" s="19" t="s">
        <v>11</v>
      </c>
      <c r="F87" s="19">
        <v>1500</v>
      </c>
      <c r="G87" s="19">
        <v>0</v>
      </c>
      <c r="H87" s="19"/>
      <c r="I87" s="23">
        <f t="shared" si="8"/>
        <v>1500</v>
      </c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 spans="1:26">
      <c r="A88" s="25" t="s">
        <v>228</v>
      </c>
      <c r="B88" s="22" t="s">
        <v>196</v>
      </c>
      <c r="C88" s="19" t="s">
        <v>10</v>
      </c>
      <c r="D88" s="20">
        <v>600</v>
      </c>
      <c r="E88" s="19" t="s">
        <v>11</v>
      </c>
      <c r="F88" s="19">
        <v>1200</v>
      </c>
      <c r="G88" s="19">
        <v>0</v>
      </c>
      <c r="H88" s="19"/>
      <c r="I88" s="23">
        <f t="shared" si="8"/>
        <v>1200</v>
      </c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 spans="1:26">
      <c r="A89" s="25" t="s">
        <v>220</v>
      </c>
      <c r="B89" s="22" t="s">
        <v>196</v>
      </c>
      <c r="C89" s="19" t="s">
        <v>22</v>
      </c>
      <c r="D89" s="20">
        <v>600</v>
      </c>
      <c r="E89" s="19" t="s">
        <v>11</v>
      </c>
      <c r="F89" s="19">
        <v>1000</v>
      </c>
      <c r="G89" s="19">
        <v>1000</v>
      </c>
      <c r="H89" s="19"/>
      <c r="I89" s="23">
        <f t="shared" si="8"/>
        <v>2000</v>
      </c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 spans="1:26">
      <c r="A90" s="25" t="s">
        <v>490</v>
      </c>
      <c r="B90" s="22" t="s">
        <v>196</v>
      </c>
      <c r="C90" s="19" t="s">
        <v>22</v>
      </c>
      <c r="D90" s="20">
        <v>800</v>
      </c>
      <c r="E90" s="19" t="s">
        <v>11</v>
      </c>
      <c r="F90" s="19">
        <v>1500</v>
      </c>
      <c r="G90" s="19">
        <v>0</v>
      </c>
      <c r="H90" s="19"/>
      <c r="I90" s="23">
        <f t="shared" si="8"/>
        <v>1500</v>
      </c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 spans="1:26">
      <c r="A91" s="25" t="s">
        <v>491</v>
      </c>
      <c r="B91" s="22" t="s">
        <v>196</v>
      </c>
      <c r="C91" s="19" t="s">
        <v>22</v>
      </c>
      <c r="D91" s="20">
        <v>600</v>
      </c>
      <c r="E91" s="19" t="s">
        <v>11</v>
      </c>
      <c r="F91" s="19">
        <v>1500</v>
      </c>
      <c r="G91" s="19">
        <v>0</v>
      </c>
      <c r="H91" s="19"/>
      <c r="I91" s="23">
        <f t="shared" si="8"/>
        <v>1500</v>
      </c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 spans="1:26">
      <c r="A92" s="25" t="s">
        <v>492</v>
      </c>
      <c r="B92" s="22" t="s">
        <v>196</v>
      </c>
      <c r="C92" s="19" t="s">
        <v>10</v>
      </c>
      <c r="D92" s="20">
        <v>600</v>
      </c>
      <c r="E92" s="19" t="s">
        <v>11</v>
      </c>
      <c r="F92" s="19">
        <v>1200</v>
      </c>
      <c r="G92" s="19">
        <v>1200</v>
      </c>
      <c r="H92" s="19"/>
      <c r="I92" s="23">
        <f t="shared" si="8"/>
        <v>2400</v>
      </c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 spans="1:26">
      <c r="A93" s="25" t="s">
        <v>493</v>
      </c>
      <c r="B93" s="22" t="s">
        <v>196</v>
      </c>
      <c r="C93" s="19" t="s">
        <v>22</v>
      </c>
      <c r="D93" s="20">
        <v>800</v>
      </c>
      <c r="E93" s="19" t="s">
        <v>11</v>
      </c>
      <c r="F93" s="19">
        <v>1600</v>
      </c>
      <c r="G93" s="19">
        <v>0</v>
      </c>
      <c r="H93" s="19"/>
      <c r="I93" s="23">
        <f t="shared" si="8"/>
        <v>1600</v>
      </c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 spans="1:26">
      <c r="A94" s="25" t="s">
        <v>494</v>
      </c>
      <c r="B94" s="22" t="s">
        <v>196</v>
      </c>
      <c r="C94" s="19" t="s">
        <v>22</v>
      </c>
      <c r="D94" s="20">
        <v>800</v>
      </c>
      <c r="E94" s="19" t="s">
        <v>11</v>
      </c>
      <c r="F94" s="19">
        <v>1500</v>
      </c>
      <c r="G94" s="19">
        <v>0</v>
      </c>
      <c r="H94" s="19"/>
      <c r="I94" s="23">
        <f t="shared" si="8"/>
        <v>1500</v>
      </c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 spans="1:26">
      <c r="A95" s="25" t="s">
        <v>495</v>
      </c>
      <c r="B95" s="22" t="s">
        <v>196</v>
      </c>
      <c r="C95" s="19" t="s">
        <v>10</v>
      </c>
      <c r="D95" s="20">
        <v>600</v>
      </c>
      <c r="E95" s="19" t="s">
        <v>11</v>
      </c>
      <c r="F95" s="19">
        <v>1300</v>
      </c>
      <c r="G95" s="19">
        <v>0</v>
      </c>
      <c r="H95" s="19"/>
      <c r="I95" s="23">
        <f t="shared" si="8"/>
        <v>1300</v>
      </c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 spans="1:26">
      <c r="A96" s="25" t="s">
        <v>496</v>
      </c>
      <c r="B96" s="22" t="s">
        <v>196</v>
      </c>
      <c r="C96" s="19" t="s">
        <v>10</v>
      </c>
      <c r="D96" s="20">
        <v>600</v>
      </c>
      <c r="E96" s="19" t="s">
        <v>11</v>
      </c>
      <c r="F96" s="19">
        <v>1300</v>
      </c>
      <c r="G96" s="19">
        <v>0</v>
      </c>
      <c r="H96" s="19"/>
      <c r="I96" s="23">
        <f t="shared" si="8"/>
        <v>1300</v>
      </c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 spans="1:26">
      <c r="A97" s="25" t="s">
        <v>497</v>
      </c>
      <c r="B97" s="22" t="s">
        <v>196</v>
      </c>
      <c r="C97" s="19" t="s">
        <v>120</v>
      </c>
      <c r="D97" s="20">
        <v>1000</v>
      </c>
      <c r="E97" s="19" t="s">
        <v>11</v>
      </c>
      <c r="F97" s="19">
        <v>2000</v>
      </c>
      <c r="G97" s="19">
        <v>0</v>
      </c>
      <c r="H97" s="19"/>
      <c r="I97" s="23">
        <f t="shared" si="8"/>
        <v>2000</v>
      </c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 spans="1:26">
      <c r="A98" s="25" t="s">
        <v>498</v>
      </c>
      <c r="B98" s="22" t="s">
        <v>196</v>
      </c>
      <c r="C98" s="19" t="s">
        <v>10</v>
      </c>
      <c r="D98" s="20">
        <v>600</v>
      </c>
      <c r="E98" s="19" t="s">
        <v>11</v>
      </c>
      <c r="F98" s="19">
        <v>1300</v>
      </c>
      <c r="G98" s="19">
        <v>0</v>
      </c>
      <c r="H98" s="19"/>
      <c r="I98" s="23">
        <f t="shared" si="8"/>
        <v>1300</v>
      </c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 spans="1:26">
      <c r="A99" s="25" t="s">
        <v>499</v>
      </c>
      <c r="B99" s="22" t="s">
        <v>196</v>
      </c>
      <c r="C99" s="19" t="s">
        <v>120</v>
      </c>
      <c r="D99" s="20">
        <v>1000</v>
      </c>
      <c r="E99" s="19" t="s">
        <v>11</v>
      </c>
      <c r="F99" s="19">
        <v>1800</v>
      </c>
      <c r="G99" s="19">
        <v>0</v>
      </c>
      <c r="H99" s="19"/>
      <c r="I99" s="23">
        <f t="shared" si="8"/>
        <v>1800</v>
      </c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 spans="1:26">
      <c r="A100" s="25" t="s">
        <v>500</v>
      </c>
      <c r="B100" s="22" t="s">
        <v>196</v>
      </c>
      <c r="C100" s="19" t="s">
        <v>10</v>
      </c>
      <c r="D100" s="20">
        <v>600</v>
      </c>
      <c r="E100" s="19" t="s">
        <v>11</v>
      </c>
      <c r="F100" s="19">
        <v>1300</v>
      </c>
      <c r="G100" s="19">
        <v>1300</v>
      </c>
      <c r="H100" s="19"/>
      <c r="I100" s="23">
        <f t="shared" si="8"/>
        <v>2600</v>
      </c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 spans="1:26">
      <c r="A101" s="25" t="s">
        <v>501</v>
      </c>
      <c r="B101" s="22" t="s">
        <v>196</v>
      </c>
      <c r="C101" s="19" t="s">
        <v>10</v>
      </c>
      <c r="D101" s="20">
        <v>600</v>
      </c>
      <c r="E101" s="19" t="s">
        <v>11</v>
      </c>
      <c r="F101" s="19">
        <v>1300</v>
      </c>
      <c r="G101" s="19">
        <v>1300</v>
      </c>
      <c r="H101" s="19"/>
      <c r="I101" s="23">
        <f t="shared" si="8"/>
        <v>2600</v>
      </c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 spans="1:26">
      <c r="A102" s="25" t="s">
        <v>502</v>
      </c>
      <c r="B102" s="22" t="s">
        <v>196</v>
      </c>
      <c r="C102" s="19" t="s">
        <v>10</v>
      </c>
      <c r="D102" s="20">
        <v>600</v>
      </c>
      <c r="E102" s="19" t="s">
        <v>11</v>
      </c>
      <c r="F102" s="19">
        <v>1300</v>
      </c>
      <c r="G102" s="19">
        <v>0</v>
      </c>
      <c r="H102" s="19"/>
      <c r="I102" s="23">
        <f t="shared" si="8"/>
        <v>1300</v>
      </c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 spans="1:26">
      <c r="A103" s="25" t="s">
        <v>503</v>
      </c>
      <c r="B103" s="22" t="s">
        <v>196</v>
      </c>
      <c r="C103" s="19" t="s">
        <v>22</v>
      </c>
      <c r="D103" s="20">
        <v>800</v>
      </c>
      <c r="E103" s="19" t="s">
        <v>11</v>
      </c>
      <c r="F103" s="19">
        <v>1500</v>
      </c>
      <c r="G103" s="19">
        <v>0</v>
      </c>
      <c r="H103" s="19"/>
      <c r="I103" s="23">
        <f t="shared" si="8"/>
        <v>1500</v>
      </c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 spans="1:26">
      <c r="A104" s="25" t="s">
        <v>289</v>
      </c>
      <c r="B104" s="22" t="s">
        <v>196</v>
      </c>
      <c r="C104" s="19" t="s">
        <v>10</v>
      </c>
      <c r="D104" s="20">
        <v>600</v>
      </c>
      <c r="E104" s="19" t="s">
        <v>11</v>
      </c>
      <c r="F104" s="19">
        <v>1200</v>
      </c>
      <c r="G104" s="19">
        <v>1200</v>
      </c>
      <c r="H104" s="19"/>
      <c r="I104" s="23">
        <f t="shared" si="8"/>
        <v>2400</v>
      </c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 spans="1:26">
      <c r="A105" s="25" t="s">
        <v>504</v>
      </c>
      <c r="B105" s="22" t="s">
        <v>196</v>
      </c>
      <c r="C105" s="19" t="s">
        <v>10</v>
      </c>
      <c r="D105" s="20">
        <v>600</v>
      </c>
      <c r="E105" s="19" t="s">
        <v>11</v>
      </c>
      <c r="F105" s="19">
        <v>1300</v>
      </c>
      <c r="G105" s="19">
        <v>0</v>
      </c>
      <c r="H105" s="19"/>
      <c r="I105" s="23">
        <f t="shared" si="8"/>
        <v>1300</v>
      </c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 spans="1:26">
      <c r="A106" s="25" t="s">
        <v>505</v>
      </c>
      <c r="B106" s="22" t="s">
        <v>196</v>
      </c>
      <c r="C106" s="19" t="s">
        <v>120</v>
      </c>
      <c r="D106" s="20">
        <v>800</v>
      </c>
      <c r="E106" s="19" t="s">
        <v>11</v>
      </c>
      <c r="F106" s="19">
        <v>2200</v>
      </c>
      <c r="G106" s="19">
        <v>0</v>
      </c>
      <c r="H106" s="19"/>
      <c r="I106" s="23">
        <f t="shared" si="8"/>
        <v>2200</v>
      </c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 spans="1:26">
      <c r="A107" s="25" t="s">
        <v>506</v>
      </c>
      <c r="B107" s="22" t="s">
        <v>196</v>
      </c>
      <c r="C107" s="19" t="s">
        <v>10</v>
      </c>
      <c r="D107" s="20">
        <v>600</v>
      </c>
      <c r="E107" s="19" t="s">
        <v>11</v>
      </c>
      <c r="F107" s="19">
        <v>1300</v>
      </c>
      <c r="G107" s="19">
        <v>0</v>
      </c>
      <c r="H107" s="19"/>
      <c r="I107" s="23">
        <f t="shared" si="8"/>
        <v>1300</v>
      </c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 spans="1:26">
      <c r="A108" s="25" t="s">
        <v>507</v>
      </c>
      <c r="B108" s="22" t="s">
        <v>196</v>
      </c>
      <c r="C108" s="19" t="s">
        <v>22</v>
      </c>
      <c r="D108" s="20">
        <v>800</v>
      </c>
      <c r="E108" s="19" t="s">
        <v>11</v>
      </c>
      <c r="F108" s="19">
        <v>2000</v>
      </c>
      <c r="G108" s="19">
        <v>0</v>
      </c>
      <c r="H108" s="19"/>
      <c r="I108" s="23">
        <f t="shared" si="8"/>
        <v>2000</v>
      </c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 spans="1:26">
      <c r="A109" s="25" t="s">
        <v>273</v>
      </c>
      <c r="B109" s="22" t="s">
        <v>196</v>
      </c>
      <c r="C109" s="19" t="s">
        <v>22</v>
      </c>
      <c r="D109" s="20">
        <v>1200</v>
      </c>
      <c r="E109" s="19" t="s">
        <v>11</v>
      </c>
      <c r="F109" s="19">
        <v>2000</v>
      </c>
      <c r="G109" s="19">
        <v>0</v>
      </c>
      <c r="H109" s="19"/>
      <c r="I109" s="23">
        <f t="shared" si="8"/>
        <v>2000</v>
      </c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 spans="1:26">
      <c r="A110" s="25" t="s">
        <v>508</v>
      </c>
      <c r="B110" s="22" t="s">
        <v>196</v>
      </c>
      <c r="C110" s="19" t="s">
        <v>10</v>
      </c>
      <c r="D110" s="20">
        <v>600</v>
      </c>
      <c r="E110" s="19" t="s">
        <v>11</v>
      </c>
      <c r="F110" s="19">
        <v>1300</v>
      </c>
      <c r="G110" s="19">
        <v>1300</v>
      </c>
      <c r="H110" s="19"/>
      <c r="I110" s="23">
        <f t="shared" si="8"/>
        <v>2600</v>
      </c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 spans="1:26">
      <c r="A111" s="25" t="s">
        <v>509</v>
      </c>
      <c r="B111" s="22" t="s">
        <v>196</v>
      </c>
      <c r="C111" s="19" t="s">
        <v>10</v>
      </c>
      <c r="D111" s="20">
        <v>600</v>
      </c>
      <c r="E111" s="19" t="s">
        <v>11</v>
      </c>
      <c r="F111" s="19">
        <v>1000</v>
      </c>
      <c r="G111" s="19">
        <v>500</v>
      </c>
      <c r="H111" s="19"/>
      <c r="I111" s="23">
        <f t="shared" si="8"/>
        <v>1500</v>
      </c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 spans="1:26">
      <c r="A112" s="25" t="s">
        <v>510</v>
      </c>
      <c r="B112" s="22" t="s">
        <v>196</v>
      </c>
      <c r="C112" s="19" t="s">
        <v>22</v>
      </c>
      <c r="D112" s="20">
        <v>800</v>
      </c>
      <c r="E112" s="19" t="s">
        <v>11</v>
      </c>
      <c r="F112" s="19">
        <v>1500</v>
      </c>
      <c r="G112" s="19">
        <v>0</v>
      </c>
      <c r="H112" s="19"/>
      <c r="I112" s="23">
        <f t="shared" si="8"/>
        <v>1500</v>
      </c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 spans="1:26">
      <c r="A113" s="25" t="s">
        <v>511</v>
      </c>
      <c r="B113" s="22" t="s">
        <v>196</v>
      </c>
      <c r="C113" s="19" t="s">
        <v>10</v>
      </c>
      <c r="D113" s="20">
        <v>600</v>
      </c>
      <c r="E113" s="19" t="s">
        <v>11</v>
      </c>
      <c r="F113" s="19">
        <v>1300</v>
      </c>
      <c r="G113" s="19">
        <v>0</v>
      </c>
      <c r="H113" s="19"/>
      <c r="I113" s="23">
        <f t="shared" si="8"/>
        <v>1300</v>
      </c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 spans="1:26">
      <c r="A114" s="25" t="s">
        <v>512</v>
      </c>
      <c r="B114" s="22" t="s">
        <v>196</v>
      </c>
      <c r="C114" s="19" t="s">
        <v>10</v>
      </c>
      <c r="D114" s="20">
        <v>600</v>
      </c>
      <c r="E114" s="19" t="s">
        <v>11</v>
      </c>
      <c r="F114" s="19">
        <v>1300</v>
      </c>
      <c r="G114" s="19">
        <v>0</v>
      </c>
      <c r="H114" s="19"/>
      <c r="I114" s="23">
        <f t="shared" si="8"/>
        <v>1300</v>
      </c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 spans="1:26">
      <c r="A115" s="25" t="s">
        <v>513</v>
      </c>
      <c r="B115" s="22" t="s">
        <v>196</v>
      </c>
      <c r="C115" s="19" t="s">
        <v>10</v>
      </c>
      <c r="D115" s="20">
        <v>600</v>
      </c>
      <c r="E115" s="19" t="s">
        <v>11</v>
      </c>
      <c r="F115" s="19">
        <v>1300</v>
      </c>
      <c r="G115" s="19">
        <v>2600</v>
      </c>
      <c r="H115" s="19"/>
      <c r="I115" s="23">
        <f t="shared" si="8"/>
        <v>3900</v>
      </c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 spans="1:26">
      <c r="A116" s="25" t="s">
        <v>514</v>
      </c>
      <c r="B116" s="22" t="s">
        <v>196</v>
      </c>
      <c r="C116" s="19" t="s">
        <v>10</v>
      </c>
      <c r="D116" s="20">
        <v>600</v>
      </c>
      <c r="E116" s="19" t="s">
        <v>11</v>
      </c>
      <c r="F116" s="19">
        <v>1200</v>
      </c>
      <c r="G116" s="19">
        <v>0</v>
      </c>
      <c r="H116" s="19"/>
      <c r="I116" s="23">
        <f t="shared" si="8"/>
        <v>1200</v>
      </c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 spans="1:26">
      <c r="A117" s="25" t="s">
        <v>515</v>
      </c>
      <c r="B117" s="22" t="s">
        <v>196</v>
      </c>
      <c r="C117" s="19" t="s">
        <v>10</v>
      </c>
      <c r="D117" s="20">
        <v>600</v>
      </c>
      <c r="E117" s="19" t="s">
        <v>11</v>
      </c>
      <c r="F117" s="19">
        <v>1300</v>
      </c>
      <c r="G117" s="19">
        <v>1300</v>
      </c>
      <c r="H117" s="19"/>
      <c r="I117" s="23">
        <f t="shared" si="8"/>
        <v>2600</v>
      </c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 spans="1:26">
      <c r="A118" s="25" t="s">
        <v>516</v>
      </c>
      <c r="B118" s="22" t="s">
        <v>196</v>
      </c>
      <c r="C118" s="19" t="s">
        <v>10</v>
      </c>
      <c r="D118" s="20">
        <v>600</v>
      </c>
      <c r="E118" s="19" t="s">
        <v>11</v>
      </c>
      <c r="F118" s="19">
        <v>1300</v>
      </c>
      <c r="G118" s="19">
        <v>0</v>
      </c>
      <c r="H118" s="19"/>
      <c r="I118" s="23">
        <f t="shared" si="8"/>
        <v>1300</v>
      </c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 spans="1:26">
      <c r="A119" s="25" t="s">
        <v>517</v>
      </c>
      <c r="B119" s="22" t="s">
        <v>196</v>
      </c>
      <c r="C119" s="19" t="s">
        <v>10</v>
      </c>
      <c r="D119" s="20">
        <v>600</v>
      </c>
      <c r="E119" s="19" t="s">
        <v>11</v>
      </c>
      <c r="F119" s="19">
        <v>1300</v>
      </c>
      <c r="G119" s="19">
        <v>0</v>
      </c>
      <c r="H119" s="19"/>
      <c r="I119" s="23">
        <f t="shared" si="8"/>
        <v>1300</v>
      </c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 spans="1:26">
      <c r="A120" s="25" t="s">
        <v>518</v>
      </c>
      <c r="B120" s="22" t="s">
        <v>196</v>
      </c>
      <c r="C120" s="19" t="s">
        <v>10</v>
      </c>
      <c r="D120" s="20">
        <v>600</v>
      </c>
      <c r="E120" s="19" t="s">
        <v>11</v>
      </c>
      <c r="F120" s="19">
        <v>1300</v>
      </c>
      <c r="G120" s="19">
        <v>0</v>
      </c>
      <c r="H120" s="19"/>
      <c r="I120" s="23">
        <f t="shared" si="8"/>
        <v>1300</v>
      </c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 spans="1:26">
      <c r="A121" s="25" t="s">
        <v>519</v>
      </c>
      <c r="B121" s="22" t="s">
        <v>196</v>
      </c>
      <c r="C121" s="19" t="s">
        <v>10</v>
      </c>
      <c r="D121" s="20">
        <v>600</v>
      </c>
      <c r="E121" s="19" t="s">
        <v>11</v>
      </c>
      <c r="F121" s="19">
        <v>1000</v>
      </c>
      <c r="G121" s="19">
        <v>0</v>
      </c>
      <c r="H121" s="19"/>
      <c r="I121" s="23">
        <f t="shared" si="8"/>
        <v>1000</v>
      </c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 spans="1:26">
      <c r="A122" s="25" t="s">
        <v>520</v>
      </c>
      <c r="B122" s="22" t="s">
        <v>196</v>
      </c>
      <c r="C122" s="19" t="s">
        <v>22</v>
      </c>
      <c r="D122" s="20">
        <v>800</v>
      </c>
      <c r="E122" s="19" t="s">
        <v>11</v>
      </c>
      <c r="F122" s="19">
        <v>1700</v>
      </c>
      <c r="G122" s="19">
        <v>0</v>
      </c>
      <c r="H122" s="19"/>
      <c r="I122" s="23">
        <f t="shared" si="8"/>
        <v>1700</v>
      </c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 spans="1:26">
      <c r="A123" s="25" t="s">
        <v>521</v>
      </c>
      <c r="B123" s="22" t="s">
        <v>196</v>
      </c>
      <c r="C123" s="19" t="s">
        <v>120</v>
      </c>
      <c r="D123" s="20">
        <v>800</v>
      </c>
      <c r="E123" s="19" t="s">
        <v>11</v>
      </c>
      <c r="F123" s="19">
        <v>2000</v>
      </c>
      <c r="G123" s="19">
        <v>4000</v>
      </c>
      <c r="H123" s="19"/>
      <c r="I123" s="23">
        <f t="shared" si="8"/>
        <v>6000</v>
      </c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 spans="1:26">
      <c r="A124" s="25" t="s">
        <v>522</v>
      </c>
      <c r="B124" s="22" t="s">
        <v>196</v>
      </c>
      <c r="C124" s="19" t="s">
        <v>10</v>
      </c>
      <c r="D124" s="20">
        <v>600</v>
      </c>
      <c r="E124" s="19" t="s">
        <v>11</v>
      </c>
      <c r="F124" s="19">
        <v>1300</v>
      </c>
      <c r="G124" s="19">
        <v>0</v>
      </c>
      <c r="H124" s="19"/>
      <c r="I124" s="23">
        <f t="shared" si="8"/>
        <v>1300</v>
      </c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 spans="1:26">
      <c r="A125" s="25" t="s">
        <v>523</v>
      </c>
      <c r="B125" s="22" t="s">
        <v>196</v>
      </c>
      <c r="C125" s="19" t="s">
        <v>22</v>
      </c>
      <c r="D125" s="20">
        <v>800</v>
      </c>
      <c r="E125" s="19" t="s">
        <v>11</v>
      </c>
      <c r="F125" s="19">
        <v>1500</v>
      </c>
      <c r="G125" s="19">
        <v>0</v>
      </c>
      <c r="H125" s="19"/>
      <c r="I125" s="23">
        <f t="shared" si="8"/>
        <v>1500</v>
      </c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 spans="1:26">
      <c r="A126" s="27" t="s">
        <v>524</v>
      </c>
      <c r="B126" s="25" t="s">
        <v>296</v>
      </c>
      <c r="C126" s="19" t="s">
        <v>120</v>
      </c>
      <c r="D126" s="20">
        <v>1200</v>
      </c>
      <c r="E126" s="19" t="s">
        <v>11</v>
      </c>
      <c r="F126" s="19">
        <v>2000</v>
      </c>
      <c r="G126" s="19">
        <v>4000</v>
      </c>
      <c r="H126" s="19"/>
      <c r="I126" s="23">
        <f t="shared" si="8"/>
        <v>6000</v>
      </c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 spans="1:26">
      <c r="A127" s="27" t="s">
        <v>525</v>
      </c>
      <c r="B127" s="25" t="s">
        <v>296</v>
      </c>
      <c r="C127" s="19" t="s">
        <v>117</v>
      </c>
      <c r="D127" s="20">
        <v>1200</v>
      </c>
      <c r="E127" s="19" t="s">
        <v>11</v>
      </c>
      <c r="F127" s="19">
        <v>2500</v>
      </c>
      <c r="G127" s="19">
        <v>0</v>
      </c>
      <c r="H127" s="19"/>
      <c r="I127" s="23">
        <f t="shared" si="8"/>
        <v>2500</v>
      </c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 spans="1:26">
      <c r="A128" s="27" t="s">
        <v>526</v>
      </c>
      <c r="B128" s="25" t="s">
        <v>296</v>
      </c>
      <c r="C128" s="19" t="s">
        <v>10</v>
      </c>
      <c r="D128" s="20">
        <v>600</v>
      </c>
      <c r="E128" s="19" t="s">
        <v>11</v>
      </c>
      <c r="F128" s="19">
        <v>1500</v>
      </c>
      <c r="G128" s="19">
        <v>0</v>
      </c>
      <c r="H128" s="19"/>
      <c r="I128" s="23">
        <f t="shared" si="8"/>
        <v>1500</v>
      </c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 spans="1:26">
      <c r="A129" s="27" t="s">
        <v>527</v>
      </c>
      <c r="B129" s="25" t="s">
        <v>296</v>
      </c>
      <c r="C129" s="19" t="s">
        <v>207</v>
      </c>
      <c r="D129" s="20">
        <v>1600</v>
      </c>
      <c r="E129" s="19" t="s">
        <v>11</v>
      </c>
      <c r="F129" s="19">
        <v>2500</v>
      </c>
      <c r="G129" s="19">
        <v>0</v>
      </c>
      <c r="H129" s="19"/>
      <c r="I129" s="23">
        <f t="shared" si="8"/>
        <v>2500</v>
      </c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 spans="1:26">
      <c r="A130" s="27" t="s">
        <v>316</v>
      </c>
      <c r="B130" s="25" t="s">
        <v>296</v>
      </c>
      <c r="C130" s="19" t="s">
        <v>22</v>
      </c>
      <c r="D130" s="20">
        <v>800</v>
      </c>
      <c r="E130" s="19" t="s">
        <v>11</v>
      </c>
      <c r="F130" s="19">
        <v>2000</v>
      </c>
      <c r="G130" s="19">
        <v>0</v>
      </c>
      <c r="H130" s="19"/>
      <c r="I130" s="23">
        <f t="shared" si="8"/>
        <v>2000</v>
      </c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 spans="1:26">
      <c r="A131" s="27" t="s">
        <v>528</v>
      </c>
      <c r="B131" s="25" t="s">
        <v>296</v>
      </c>
      <c r="C131" s="19" t="s">
        <v>22</v>
      </c>
      <c r="D131" s="20">
        <v>800</v>
      </c>
      <c r="E131" s="19" t="s">
        <v>11</v>
      </c>
      <c r="F131" s="19">
        <v>1500</v>
      </c>
      <c r="G131" s="19">
        <v>0</v>
      </c>
      <c r="H131" s="19"/>
      <c r="I131" s="23">
        <f t="shared" si="8"/>
        <v>1500</v>
      </c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 spans="1:26">
      <c r="A132" s="27" t="s">
        <v>529</v>
      </c>
      <c r="B132" s="25" t="s">
        <v>296</v>
      </c>
      <c r="C132" s="19" t="s">
        <v>10</v>
      </c>
      <c r="D132" s="20">
        <v>600</v>
      </c>
      <c r="E132" s="19" t="s">
        <v>11</v>
      </c>
      <c r="F132" s="19">
        <v>1500</v>
      </c>
      <c r="G132" s="19">
        <v>6000</v>
      </c>
      <c r="H132" s="19"/>
      <c r="I132" s="23">
        <f t="shared" si="8"/>
        <v>7500</v>
      </c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 spans="1:26">
      <c r="A133" s="27" t="s">
        <v>530</v>
      </c>
      <c r="B133" s="25" t="s">
        <v>296</v>
      </c>
      <c r="C133" s="19" t="s">
        <v>10</v>
      </c>
      <c r="D133" s="20">
        <v>600</v>
      </c>
      <c r="E133" s="19" t="s">
        <v>11</v>
      </c>
      <c r="F133" s="19">
        <v>1300</v>
      </c>
      <c r="G133" s="19">
        <v>1300</v>
      </c>
      <c r="H133" s="19"/>
      <c r="I133" s="23">
        <f t="shared" si="8"/>
        <v>2600</v>
      </c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 spans="1:26">
      <c r="A134" s="27" t="s">
        <v>531</v>
      </c>
      <c r="B134" s="25" t="s">
        <v>296</v>
      </c>
      <c r="C134" s="19" t="s">
        <v>207</v>
      </c>
      <c r="D134" s="20">
        <v>1600</v>
      </c>
      <c r="E134" s="19" t="s">
        <v>11</v>
      </c>
      <c r="F134" s="19">
        <v>4000</v>
      </c>
      <c r="G134" s="19">
        <v>0</v>
      </c>
      <c r="H134" s="19"/>
      <c r="I134" s="23">
        <f t="shared" si="8"/>
        <v>4000</v>
      </c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 spans="1:26">
      <c r="A135" s="27" t="s">
        <v>532</v>
      </c>
      <c r="B135" s="25" t="s">
        <v>296</v>
      </c>
      <c r="C135" s="19" t="s">
        <v>10</v>
      </c>
      <c r="D135" s="20">
        <v>600</v>
      </c>
      <c r="E135" s="19" t="s">
        <v>11</v>
      </c>
      <c r="F135" s="19">
        <v>1300</v>
      </c>
      <c r="G135" s="19">
        <v>0</v>
      </c>
      <c r="H135" s="19"/>
      <c r="I135" s="23">
        <f t="shared" si="8"/>
        <v>1300</v>
      </c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 spans="1:26">
      <c r="A136" s="27" t="s">
        <v>533</v>
      </c>
      <c r="B136" s="25" t="s">
        <v>296</v>
      </c>
      <c r="C136" s="19" t="s">
        <v>120</v>
      </c>
      <c r="D136" s="20">
        <v>1000</v>
      </c>
      <c r="E136" s="19" t="s">
        <v>11</v>
      </c>
      <c r="F136" s="19">
        <v>2500</v>
      </c>
      <c r="G136" s="19">
        <v>0</v>
      </c>
      <c r="H136" s="19"/>
      <c r="I136" s="23">
        <f t="shared" si="8"/>
        <v>2500</v>
      </c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 spans="1:26">
      <c r="A137" s="27" t="s">
        <v>534</v>
      </c>
      <c r="B137" s="25" t="s">
        <v>296</v>
      </c>
      <c r="C137" s="19" t="s">
        <v>10</v>
      </c>
      <c r="D137" s="20">
        <v>600</v>
      </c>
      <c r="E137" s="19" t="s">
        <v>11</v>
      </c>
      <c r="F137" s="19">
        <v>1300</v>
      </c>
      <c r="G137" s="19">
        <v>1300</v>
      </c>
      <c r="H137" s="19"/>
      <c r="I137" s="23">
        <f t="shared" si="8"/>
        <v>2600</v>
      </c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 spans="1:26">
      <c r="A138" s="27" t="s">
        <v>535</v>
      </c>
      <c r="B138" s="25" t="s">
        <v>296</v>
      </c>
      <c r="C138" s="28" t="s">
        <v>10</v>
      </c>
      <c r="D138" s="29">
        <v>600</v>
      </c>
      <c r="E138" s="19" t="s">
        <v>11</v>
      </c>
      <c r="F138" s="28">
        <v>2000</v>
      </c>
      <c r="G138" s="19">
        <v>2000</v>
      </c>
      <c r="H138" s="19"/>
      <c r="I138" s="23">
        <f t="shared" si="8"/>
        <v>4000</v>
      </c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 spans="1:26">
      <c r="A139" s="27" t="s">
        <v>536</v>
      </c>
      <c r="B139" s="25" t="s">
        <v>296</v>
      </c>
      <c r="C139" s="28" t="s">
        <v>10</v>
      </c>
      <c r="D139" s="29">
        <v>600</v>
      </c>
      <c r="E139" s="19" t="s">
        <v>11</v>
      </c>
      <c r="F139" s="28">
        <v>1500</v>
      </c>
      <c r="G139" s="19">
        <v>0</v>
      </c>
      <c r="H139" s="19"/>
      <c r="I139" s="23">
        <f t="shared" si="8"/>
        <v>1500</v>
      </c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 spans="1:26">
      <c r="A140" s="27" t="s">
        <v>537</v>
      </c>
      <c r="B140" s="25" t="s">
        <v>296</v>
      </c>
      <c r="C140" s="28" t="s">
        <v>10</v>
      </c>
      <c r="D140" s="29">
        <v>600</v>
      </c>
      <c r="E140" s="19" t="s">
        <v>11</v>
      </c>
      <c r="F140" s="28">
        <v>1000</v>
      </c>
      <c r="G140" s="19">
        <v>1000</v>
      </c>
      <c r="H140" s="19"/>
      <c r="I140" s="23">
        <f t="shared" si="8"/>
        <v>2000</v>
      </c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 spans="1:26">
      <c r="A141" s="27" t="s">
        <v>538</v>
      </c>
      <c r="B141" s="25" t="s">
        <v>296</v>
      </c>
      <c r="C141" s="28" t="s">
        <v>10</v>
      </c>
      <c r="D141" s="29">
        <v>600</v>
      </c>
      <c r="E141" s="19" t="s">
        <v>11</v>
      </c>
      <c r="F141" s="28">
        <v>1500</v>
      </c>
      <c r="G141" s="19">
        <v>1500</v>
      </c>
      <c r="H141" s="19"/>
      <c r="I141" s="23">
        <f t="shared" si="8"/>
        <v>3000</v>
      </c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 spans="1:26">
      <c r="A142" s="27" t="s">
        <v>539</v>
      </c>
      <c r="B142" s="25" t="s">
        <v>296</v>
      </c>
      <c r="C142" s="28" t="s">
        <v>10</v>
      </c>
      <c r="D142" s="29">
        <v>600</v>
      </c>
      <c r="E142" s="19" t="s">
        <v>11</v>
      </c>
      <c r="F142" s="28">
        <v>1500</v>
      </c>
      <c r="G142" s="19">
        <v>1500</v>
      </c>
      <c r="H142" s="19"/>
      <c r="I142" s="23">
        <f t="shared" si="8"/>
        <v>3000</v>
      </c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 spans="1:9">
      <c r="A143" s="30" t="s">
        <v>540</v>
      </c>
      <c r="B143" s="27" t="s">
        <v>354</v>
      </c>
      <c r="C143" s="19" t="s">
        <v>22</v>
      </c>
      <c r="D143" s="20">
        <v>1600</v>
      </c>
      <c r="E143" s="19" t="s">
        <v>11</v>
      </c>
      <c r="F143" s="19">
        <v>1000</v>
      </c>
      <c r="G143" s="19">
        <v>0</v>
      </c>
      <c r="H143" s="19"/>
      <c r="I143" s="23">
        <f t="shared" si="8"/>
        <v>1000</v>
      </c>
    </row>
    <row r="144" ht="15.75" customHeight="1" spans="1:9">
      <c r="A144" s="30" t="s">
        <v>541</v>
      </c>
      <c r="B144" s="27" t="s">
        <v>354</v>
      </c>
      <c r="C144" s="19" t="s">
        <v>117</v>
      </c>
      <c r="D144" s="20">
        <v>1200</v>
      </c>
      <c r="E144" s="19" t="s">
        <v>11</v>
      </c>
      <c r="F144" s="19">
        <v>1200</v>
      </c>
      <c r="G144" s="19">
        <v>1200</v>
      </c>
      <c r="H144" s="19"/>
      <c r="I144" s="23">
        <f t="shared" si="8"/>
        <v>2400</v>
      </c>
    </row>
    <row r="145" ht="15.75" customHeight="1" spans="1:9">
      <c r="A145" s="30" t="s">
        <v>542</v>
      </c>
      <c r="B145" s="27" t="s">
        <v>354</v>
      </c>
      <c r="C145" s="19" t="s">
        <v>10</v>
      </c>
      <c r="D145" s="20">
        <v>600</v>
      </c>
      <c r="E145" s="19" t="s">
        <v>11</v>
      </c>
      <c r="F145" s="28">
        <v>1000</v>
      </c>
      <c r="G145" s="19">
        <v>1000</v>
      </c>
      <c r="H145" s="19"/>
      <c r="I145" s="23">
        <f t="shared" si="8"/>
        <v>2000</v>
      </c>
    </row>
    <row r="146" ht="15.75" customHeight="1" spans="1:9">
      <c r="A146" s="30" t="s">
        <v>336</v>
      </c>
      <c r="B146" s="27" t="s">
        <v>354</v>
      </c>
      <c r="C146" s="19" t="s">
        <v>10</v>
      </c>
      <c r="D146" s="29">
        <v>600</v>
      </c>
      <c r="E146" s="19" t="s">
        <v>11</v>
      </c>
      <c r="F146" s="19">
        <v>1200</v>
      </c>
      <c r="G146" s="19">
        <v>0</v>
      </c>
      <c r="H146" s="19"/>
      <c r="I146" s="23">
        <f t="shared" si="8"/>
        <v>1200</v>
      </c>
    </row>
    <row r="147" ht="15.75" customHeight="1" spans="1:9">
      <c r="A147" s="30" t="s">
        <v>543</v>
      </c>
      <c r="B147" s="27" t="s">
        <v>354</v>
      </c>
      <c r="C147" s="19" t="s">
        <v>10</v>
      </c>
      <c r="D147" s="29">
        <v>600</v>
      </c>
      <c r="E147" s="19" t="s">
        <v>11</v>
      </c>
      <c r="F147" s="19">
        <v>1200</v>
      </c>
      <c r="G147" s="19">
        <v>0</v>
      </c>
      <c r="H147" s="19"/>
      <c r="I147" s="23">
        <f t="shared" si="8"/>
        <v>1200</v>
      </c>
    </row>
    <row r="148" ht="15.75" customHeight="1" spans="1:9">
      <c r="A148" s="30" t="s">
        <v>544</v>
      </c>
      <c r="B148" s="27" t="s">
        <v>354</v>
      </c>
      <c r="C148" s="19" t="s">
        <v>22</v>
      </c>
      <c r="D148" s="20">
        <v>800</v>
      </c>
      <c r="E148" s="19" t="s">
        <v>11</v>
      </c>
      <c r="F148" s="19">
        <v>2000</v>
      </c>
      <c r="G148" s="19">
        <v>0</v>
      </c>
      <c r="H148" s="19"/>
      <c r="I148" s="23">
        <f t="shared" si="8"/>
        <v>2000</v>
      </c>
    </row>
    <row r="149" ht="15.75" customHeight="1" spans="1:9">
      <c r="A149" s="30" t="s">
        <v>545</v>
      </c>
      <c r="B149" s="27" t="s">
        <v>354</v>
      </c>
      <c r="C149" s="19" t="s">
        <v>22</v>
      </c>
      <c r="D149" s="20">
        <v>800</v>
      </c>
      <c r="E149" s="19" t="s">
        <v>11</v>
      </c>
      <c r="F149" s="28">
        <v>1500</v>
      </c>
      <c r="G149" s="19">
        <v>0</v>
      </c>
      <c r="H149" s="19"/>
      <c r="I149" s="23">
        <f t="shared" si="8"/>
        <v>1500</v>
      </c>
    </row>
    <row r="150" ht="15.75" customHeight="1" spans="1:9">
      <c r="A150" s="30" t="s">
        <v>546</v>
      </c>
      <c r="B150" s="27" t="s">
        <v>354</v>
      </c>
      <c r="C150" s="19" t="s">
        <v>10</v>
      </c>
      <c r="D150" s="20">
        <v>600</v>
      </c>
      <c r="E150" s="19" t="s">
        <v>11</v>
      </c>
      <c r="F150" s="19">
        <v>1300</v>
      </c>
      <c r="G150" s="19">
        <v>0</v>
      </c>
      <c r="H150" s="19"/>
      <c r="I150" s="23">
        <f t="shared" si="8"/>
        <v>1300</v>
      </c>
    </row>
    <row r="151" ht="15.75" customHeight="1" spans="1:9">
      <c r="A151" s="30" t="s">
        <v>547</v>
      </c>
      <c r="B151" s="27" t="s">
        <v>354</v>
      </c>
      <c r="C151" s="19" t="s">
        <v>10</v>
      </c>
      <c r="D151" s="20">
        <v>600</v>
      </c>
      <c r="E151" s="19" t="s">
        <v>11</v>
      </c>
      <c r="F151" s="19">
        <v>1200</v>
      </c>
      <c r="G151" s="19">
        <v>0</v>
      </c>
      <c r="H151" s="19"/>
      <c r="I151" s="23">
        <f t="shared" si="8"/>
        <v>1200</v>
      </c>
    </row>
    <row r="152" ht="15.75" customHeight="1" spans="1:9">
      <c r="A152" s="30" t="s">
        <v>548</v>
      </c>
      <c r="B152" s="27" t="s">
        <v>354</v>
      </c>
      <c r="C152" s="19" t="s">
        <v>250</v>
      </c>
      <c r="D152" s="29">
        <v>3500</v>
      </c>
      <c r="E152" s="19" t="s">
        <v>11</v>
      </c>
      <c r="F152" s="19">
        <v>13000</v>
      </c>
      <c r="G152" s="19">
        <v>0</v>
      </c>
      <c r="H152" s="19"/>
      <c r="I152" s="23">
        <f t="shared" si="8"/>
        <v>13000</v>
      </c>
    </row>
    <row r="153" ht="15.75" customHeight="1" spans="1:9">
      <c r="A153" s="30" t="s">
        <v>549</v>
      </c>
      <c r="B153" s="27" t="s">
        <v>354</v>
      </c>
      <c r="C153" s="19" t="s">
        <v>10</v>
      </c>
      <c r="D153" s="20">
        <v>600</v>
      </c>
      <c r="E153" s="19" t="s">
        <v>11</v>
      </c>
      <c r="F153" s="19">
        <v>1000</v>
      </c>
      <c r="G153" s="19">
        <v>0</v>
      </c>
      <c r="H153" s="19"/>
      <c r="I153" s="23">
        <f t="shared" si="8"/>
        <v>1000</v>
      </c>
    </row>
    <row r="154" ht="15.75" customHeight="1" spans="1:9">
      <c r="A154" s="30" t="s">
        <v>341</v>
      </c>
      <c r="B154" s="27" t="s">
        <v>354</v>
      </c>
      <c r="C154" s="19" t="s">
        <v>10</v>
      </c>
      <c r="D154" s="20">
        <v>600</v>
      </c>
      <c r="E154" s="19" t="s">
        <v>11</v>
      </c>
      <c r="F154" s="19">
        <v>1000</v>
      </c>
      <c r="G154" s="19">
        <v>0</v>
      </c>
      <c r="H154" s="19"/>
      <c r="I154" s="23">
        <f t="shared" si="8"/>
        <v>1000</v>
      </c>
    </row>
    <row r="155" ht="15.75" customHeight="1" spans="1:9">
      <c r="A155" s="30" t="s">
        <v>550</v>
      </c>
      <c r="B155" s="27" t="s">
        <v>354</v>
      </c>
      <c r="C155" s="19" t="s">
        <v>10</v>
      </c>
      <c r="D155" s="29">
        <v>600</v>
      </c>
      <c r="E155" s="19" t="s">
        <v>11</v>
      </c>
      <c r="F155" s="19">
        <v>3000</v>
      </c>
      <c r="G155" s="19">
        <v>2000</v>
      </c>
      <c r="H155" s="19"/>
      <c r="I155" s="23">
        <f t="shared" si="8"/>
        <v>5000</v>
      </c>
    </row>
    <row r="156" ht="15.75" customHeight="1" spans="1:9">
      <c r="A156" s="30" t="s">
        <v>351</v>
      </c>
      <c r="B156" s="27" t="s">
        <v>354</v>
      </c>
      <c r="C156" s="19" t="s">
        <v>10</v>
      </c>
      <c r="D156" s="29">
        <v>600</v>
      </c>
      <c r="E156" s="19" t="s">
        <v>11</v>
      </c>
      <c r="F156" s="19">
        <v>2000</v>
      </c>
      <c r="G156" s="19">
        <v>0</v>
      </c>
      <c r="H156" s="19"/>
      <c r="I156" s="23">
        <f t="shared" si="8"/>
        <v>2000</v>
      </c>
    </row>
    <row r="157" ht="15.75" customHeight="1" spans="1:9">
      <c r="A157" s="30" t="s">
        <v>551</v>
      </c>
      <c r="B157" s="27" t="s">
        <v>354</v>
      </c>
      <c r="C157" s="19" t="s">
        <v>10</v>
      </c>
      <c r="D157" s="20">
        <v>600</v>
      </c>
      <c r="E157" s="19" t="s">
        <v>11</v>
      </c>
      <c r="F157" s="19">
        <v>2000</v>
      </c>
      <c r="G157" s="19">
        <v>0</v>
      </c>
      <c r="H157" s="19"/>
      <c r="I157" s="23">
        <f t="shared" si="8"/>
        <v>2000</v>
      </c>
    </row>
    <row r="158" ht="15.75" customHeight="1" spans="1:9">
      <c r="A158" s="30" t="s">
        <v>552</v>
      </c>
      <c r="B158" s="27" t="s">
        <v>354</v>
      </c>
      <c r="C158" s="19" t="s">
        <v>10</v>
      </c>
      <c r="D158" s="20">
        <v>600</v>
      </c>
      <c r="E158" s="19" t="s">
        <v>11</v>
      </c>
      <c r="F158" s="19">
        <v>2000</v>
      </c>
      <c r="G158" s="19">
        <v>0</v>
      </c>
      <c r="H158" s="19"/>
      <c r="I158" s="23">
        <f t="shared" si="8"/>
        <v>2000</v>
      </c>
    </row>
    <row r="159" ht="15.75" customHeight="1" spans="1:9">
      <c r="A159" s="30" t="s">
        <v>553</v>
      </c>
      <c r="B159" s="27" t="s">
        <v>354</v>
      </c>
      <c r="C159" s="19" t="s">
        <v>10</v>
      </c>
      <c r="D159" s="29">
        <v>600</v>
      </c>
      <c r="E159" s="19" t="s">
        <v>11</v>
      </c>
      <c r="F159" s="19">
        <v>1200</v>
      </c>
      <c r="G159" s="19">
        <v>0</v>
      </c>
      <c r="H159" s="19"/>
      <c r="I159" s="23">
        <f t="shared" si="8"/>
        <v>1200</v>
      </c>
    </row>
    <row r="160" ht="15.75" customHeight="1" spans="1:9">
      <c r="A160" s="30" t="s">
        <v>532</v>
      </c>
      <c r="B160" s="27" t="s">
        <v>354</v>
      </c>
      <c r="C160" s="19" t="s">
        <v>10</v>
      </c>
      <c r="D160" s="20">
        <v>600</v>
      </c>
      <c r="E160" s="19" t="s">
        <v>11</v>
      </c>
      <c r="F160" s="19">
        <v>1300</v>
      </c>
      <c r="G160" s="19">
        <v>0</v>
      </c>
      <c r="H160" s="19"/>
      <c r="I160" s="23">
        <f t="shared" si="8"/>
        <v>1300</v>
      </c>
    </row>
    <row r="161" ht="15.75" customHeight="1" spans="1:9">
      <c r="A161" s="30" t="s">
        <v>554</v>
      </c>
      <c r="B161" s="27" t="s">
        <v>354</v>
      </c>
      <c r="C161" s="19" t="s">
        <v>10</v>
      </c>
      <c r="D161" s="20">
        <v>600</v>
      </c>
      <c r="E161" s="19" t="s">
        <v>11</v>
      </c>
      <c r="F161" s="19">
        <v>2500</v>
      </c>
      <c r="G161" s="19">
        <v>0</v>
      </c>
      <c r="H161" s="19"/>
      <c r="I161" s="23">
        <f t="shared" si="8"/>
        <v>2500</v>
      </c>
    </row>
    <row r="162" ht="15.75" customHeight="1" spans="1:9">
      <c r="A162" s="31" t="s">
        <v>555</v>
      </c>
      <c r="B162" s="32" t="s">
        <v>414</v>
      </c>
      <c r="C162" s="19" t="s">
        <v>10</v>
      </c>
      <c r="D162" s="20">
        <v>600</v>
      </c>
      <c r="E162" s="19" t="s">
        <v>11</v>
      </c>
      <c r="F162" s="19">
        <v>1500</v>
      </c>
      <c r="G162" s="19">
        <v>0</v>
      </c>
      <c r="H162" s="19"/>
      <c r="I162" s="23">
        <f t="shared" si="8"/>
        <v>1500</v>
      </c>
    </row>
    <row r="163" ht="15.75" customHeight="1" spans="1:9">
      <c r="A163" s="31" t="s">
        <v>556</v>
      </c>
      <c r="B163" s="32" t="s">
        <v>414</v>
      </c>
      <c r="C163" s="19" t="s">
        <v>10</v>
      </c>
      <c r="D163" s="20">
        <v>600</v>
      </c>
      <c r="E163" s="19" t="s">
        <v>11</v>
      </c>
      <c r="F163" s="19">
        <v>1500</v>
      </c>
      <c r="G163" s="19">
        <v>0</v>
      </c>
      <c r="H163" s="19"/>
      <c r="I163" s="23">
        <f t="shared" si="8"/>
        <v>1500</v>
      </c>
    </row>
    <row r="164" ht="15.75" customHeight="1" spans="1:9">
      <c r="A164" s="31" t="s">
        <v>557</v>
      </c>
      <c r="B164" s="32" t="s">
        <v>414</v>
      </c>
      <c r="C164" s="19" t="s">
        <v>10</v>
      </c>
      <c r="D164" s="20">
        <v>600</v>
      </c>
      <c r="E164" s="19" t="s">
        <v>11</v>
      </c>
      <c r="F164" s="19">
        <v>1500</v>
      </c>
      <c r="G164" s="19">
        <v>1500</v>
      </c>
      <c r="H164" s="19"/>
      <c r="I164" s="23">
        <f t="shared" si="8"/>
        <v>3000</v>
      </c>
    </row>
    <row r="165" ht="15.75" customHeight="1" spans="1:9">
      <c r="A165" s="31" t="s">
        <v>519</v>
      </c>
      <c r="B165" s="32" t="s">
        <v>414</v>
      </c>
      <c r="C165" s="19" t="s">
        <v>10</v>
      </c>
      <c r="D165" s="20">
        <v>600</v>
      </c>
      <c r="E165" s="19" t="s">
        <v>11</v>
      </c>
      <c r="F165" s="19">
        <v>1500</v>
      </c>
      <c r="G165" s="19">
        <v>1500</v>
      </c>
      <c r="H165" s="19"/>
      <c r="I165" s="23">
        <f t="shared" si="8"/>
        <v>3000</v>
      </c>
    </row>
    <row r="166" ht="15.75" customHeight="1" spans="1:9">
      <c r="A166" s="31" t="s">
        <v>558</v>
      </c>
      <c r="B166" s="32" t="s">
        <v>414</v>
      </c>
      <c r="C166" s="19" t="s">
        <v>10</v>
      </c>
      <c r="D166" s="20">
        <v>600</v>
      </c>
      <c r="E166" s="19" t="s">
        <v>11</v>
      </c>
      <c r="F166" s="19">
        <v>1500</v>
      </c>
      <c r="G166" s="19">
        <v>1500</v>
      </c>
      <c r="H166" s="19"/>
      <c r="I166" s="23">
        <f t="shared" si="8"/>
        <v>3000</v>
      </c>
    </row>
    <row r="167" ht="15.75" customHeight="1" spans="1:9">
      <c r="A167" s="31" t="s">
        <v>126</v>
      </c>
      <c r="B167" s="32" t="s">
        <v>414</v>
      </c>
      <c r="C167" s="19" t="s">
        <v>10</v>
      </c>
      <c r="D167" s="20">
        <v>600</v>
      </c>
      <c r="E167" s="19" t="s">
        <v>11</v>
      </c>
      <c r="F167" s="19">
        <v>1500</v>
      </c>
      <c r="G167" s="19">
        <v>1500</v>
      </c>
      <c r="H167" s="19"/>
      <c r="I167" s="23">
        <f t="shared" si="8"/>
        <v>3000</v>
      </c>
    </row>
    <row r="168" ht="15.75" customHeight="1" spans="1:9">
      <c r="A168" s="31" t="s">
        <v>559</v>
      </c>
      <c r="B168" s="32" t="s">
        <v>414</v>
      </c>
      <c r="C168" s="19" t="s">
        <v>10</v>
      </c>
      <c r="D168" s="20">
        <v>600</v>
      </c>
      <c r="E168" s="19" t="s">
        <v>11</v>
      </c>
      <c r="F168" s="19">
        <v>1500</v>
      </c>
      <c r="G168" s="19">
        <v>1500</v>
      </c>
      <c r="H168" s="19"/>
      <c r="I168" s="23">
        <f t="shared" si="8"/>
        <v>3000</v>
      </c>
    </row>
    <row r="169" ht="15.75" customHeight="1" spans="1:9">
      <c r="A169" s="31" t="s">
        <v>114</v>
      </c>
      <c r="B169" s="32" t="s">
        <v>414</v>
      </c>
      <c r="C169" s="19" t="s">
        <v>117</v>
      </c>
      <c r="D169" s="20">
        <v>1200</v>
      </c>
      <c r="E169" s="19" t="s">
        <v>11</v>
      </c>
      <c r="F169" s="19">
        <v>2000</v>
      </c>
      <c r="G169" s="19">
        <v>7500</v>
      </c>
      <c r="H169" s="19"/>
      <c r="I169" s="23">
        <f t="shared" si="8"/>
        <v>9500</v>
      </c>
    </row>
    <row r="170" ht="15.75" customHeight="1" spans="1:9">
      <c r="A170" s="31" t="s">
        <v>560</v>
      </c>
      <c r="B170" s="32" t="s">
        <v>414</v>
      </c>
      <c r="C170" s="19" t="s">
        <v>10</v>
      </c>
      <c r="D170" s="20">
        <v>600</v>
      </c>
      <c r="E170" s="19" t="s">
        <v>11</v>
      </c>
      <c r="F170" s="19">
        <v>1500</v>
      </c>
      <c r="G170" s="19">
        <v>0</v>
      </c>
      <c r="H170" s="19"/>
      <c r="I170" s="23">
        <f t="shared" si="8"/>
        <v>1500</v>
      </c>
    </row>
    <row r="171" ht="15.75" customHeight="1" spans="1:9">
      <c r="A171" s="31" t="s">
        <v>561</v>
      </c>
      <c r="B171" s="32" t="s">
        <v>414</v>
      </c>
      <c r="C171" s="19" t="s">
        <v>10</v>
      </c>
      <c r="D171" s="20">
        <v>600</v>
      </c>
      <c r="E171" s="19" t="s">
        <v>11</v>
      </c>
      <c r="F171" s="19">
        <v>1500</v>
      </c>
      <c r="G171" s="19">
        <v>0</v>
      </c>
      <c r="H171" s="19"/>
      <c r="I171" s="23">
        <f t="shared" si="8"/>
        <v>1500</v>
      </c>
    </row>
    <row r="172" ht="15.75" customHeight="1" spans="1:9">
      <c r="A172" s="31" t="s">
        <v>562</v>
      </c>
      <c r="B172" s="32" t="s">
        <v>414</v>
      </c>
      <c r="C172" s="19" t="s">
        <v>10</v>
      </c>
      <c r="D172" s="20">
        <v>600</v>
      </c>
      <c r="E172" s="19" t="s">
        <v>11</v>
      </c>
      <c r="F172" s="19">
        <v>1500</v>
      </c>
      <c r="G172" s="19">
        <v>1500</v>
      </c>
      <c r="H172" s="19"/>
      <c r="I172" s="23">
        <f t="shared" si="8"/>
        <v>3000</v>
      </c>
    </row>
    <row r="173" ht="15.75" customHeight="1" spans="1:9">
      <c r="A173" s="31" t="s">
        <v>563</v>
      </c>
      <c r="B173" s="32" t="s">
        <v>414</v>
      </c>
      <c r="C173" s="19" t="s">
        <v>10</v>
      </c>
      <c r="D173" s="20">
        <v>600</v>
      </c>
      <c r="E173" s="19" t="s">
        <v>11</v>
      </c>
      <c r="F173" s="19">
        <v>1500</v>
      </c>
      <c r="G173" s="19">
        <v>0</v>
      </c>
      <c r="H173" s="19"/>
      <c r="I173" s="23">
        <f t="shared" si="8"/>
        <v>1500</v>
      </c>
    </row>
    <row r="174" ht="15.75" customHeight="1" spans="1:9">
      <c r="A174" s="31" t="s">
        <v>564</v>
      </c>
      <c r="B174" s="32" t="s">
        <v>414</v>
      </c>
      <c r="C174" s="19" t="s">
        <v>10</v>
      </c>
      <c r="D174" s="20">
        <v>600</v>
      </c>
      <c r="E174" s="19" t="s">
        <v>11</v>
      </c>
      <c r="F174" s="19">
        <v>2000</v>
      </c>
      <c r="G174" s="19">
        <v>1000</v>
      </c>
      <c r="H174" s="19"/>
      <c r="I174" s="23">
        <f t="shared" si="8"/>
        <v>3000</v>
      </c>
    </row>
    <row r="175" ht="15.75" customHeight="1" spans="1:9">
      <c r="A175" s="31" t="s">
        <v>565</v>
      </c>
      <c r="B175" s="32" t="s">
        <v>414</v>
      </c>
      <c r="C175" s="19" t="s">
        <v>22</v>
      </c>
      <c r="D175" s="20">
        <v>800</v>
      </c>
      <c r="E175" s="19" t="s">
        <v>11</v>
      </c>
      <c r="F175" s="19">
        <v>2000</v>
      </c>
      <c r="G175" s="19">
        <v>0</v>
      </c>
      <c r="H175" s="19"/>
      <c r="I175" s="23">
        <f t="shared" si="8"/>
        <v>2000</v>
      </c>
    </row>
    <row r="176" ht="15.75" customHeight="1" spans="1:9">
      <c r="A176" s="31" t="s">
        <v>148</v>
      </c>
      <c r="B176" s="32" t="s">
        <v>414</v>
      </c>
      <c r="C176" s="19" t="s">
        <v>10</v>
      </c>
      <c r="D176" s="20">
        <v>600</v>
      </c>
      <c r="E176" s="19" t="s">
        <v>11</v>
      </c>
      <c r="F176" s="19">
        <v>1500</v>
      </c>
      <c r="G176" s="19">
        <v>0</v>
      </c>
      <c r="H176" s="19"/>
      <c r="I176" s="23">
        <f t="shared" si="8"/>
        <v>1500</v>
      </c>
    </row>
    <row r="177" ht="15.75" customHeight="1" spans="1:9">
      <c r="A177" s="31" t="s">
        <v>566</v>
      </c>
      <c r="B177" s="32" t="s">
        <v>414</v>
      </c>
      <c r="C177" s="19" t="s">
        <v>10</v>
      </c>
      <c r="D177" s="20">
        <v>600</v>
      </c>
      <c r="E177" s="19" t="s">
        <v>11</v>
      </c>
      <c r="F177" s="19">
        <v>1500</v>
      </c>
      <c r="G177" s="19">
        <v>1500</v>
      </c>
      <c r="H177" s="19"/>
      <c r="I177" s="23">
        <f t="shared" si="8"/>
        <v>3000</v>
      </c>
    </row>
    <row r="178" ht="15.75" customHeight="1" spans="1:9">
      <c r="A178" s="31" t="s">
        <v>567</v>
      </c>
      <c r="B178" s="32" t="s">
        <v>414</v>
      </c>
      <c r="C178" s="19" t="s">
        <v>10</v>
      </c>
      <c r="D178" s="20">
        <v>600</v>
      </c>
      <c r="E178" s="19" t="s">
        <v>11</v>
      </c>
      <c r="F178" s="19">
        <v>1500</v>
      </c>
      <c r="G178" s="19">
        <v>0</v>
      </c>
      <c r="H178" s="19"/>
      <c r="I178" s="23">
        <f t="shared" si="8"/>
        <v>1500</v>
      </c>
    </row>
    <row r="179" ht="15.75" customHeight="1" spans="1:9">
      <c r="A179" s="31" t="s">
        <v>450</v>
      </c>
      <c r="B179" s="32" t="s">
        <v>414</v>
      </c>
      <c r="C179" s="19" t="s">
        <v>10</v>
      </c>
      <c r="D179" s="20">
        <v>600</v>
      </c>
      <c r="E179" s="19" t="s">
        <v>11</v>
      </c>
      <c r="F179" s="19">
        <v>1500</v>
      </c>
      <c r="G179" s="19">
        <v>0</v>
      </c>
      <c r="H179" s="19"/>
      <c r="I179" s="23">
        <f t="shared" si="8"/>
        <v>1500</v>
      </c>
    </row>
    <row r="180" ht="15.75" customHeight="1" spans="1:9">
      <c r="A180" s="31" t="s">
        <v>568</v>
      </c>
      <c r="B180" s="32" t="s">
        <v>414</v>
      </c>
      <c r="C180" s="19" t="s">
        <v>10</v>
      </c>
      <c r="D180" s="20">
        <v>600</v>
      </c>
      <c r="E180" s="19" t="s">
        <v>11</v>
      </c>
      <c r="F180" s="19">
        <v>1500</v>
      </c>
      <c r="G180" s="19">
        <v>0</v>
      </c>
      <c r="H180" s="19"/>
      <c r="I180" s="23">
        <f t="shared" si="8"/>
        <v>1500</v>
      </c>
    </row>
    <row r="181" ht="15.75" customHeight="1" spans="1:9">
      <c r="A181" s="31" t="s">
        <v>569</v>
      </c>
      <c r="B181" s="32" t="s">
        <v>414</v>
      </c>
      <c r="C181" s="19" t="s">
        <v>10</v>
      </c>
      <c r="D181" s="20">
        <v>600</v>
      </c>
      <c r="E181" s="19" t="s">
        <v>11</v>
      </c>
      <c r="F181" s="19">
        <v>1500</v>
      </c>
      <c r="G181" s="19">
        <v>0</v>
      </c>
      <c r="H181" s="19"/>
      <c r="I181" s="23">
        <f t="shared" si="8"/>
        <v>1500</v>
      </c>
    </row>
    <row r="182" ht="15.75" customHeight="1" spans="1:9">
      <c r="A182" s="31" t="s">
        <v>162</v>
      </c>
      <c r="B182" s="32" t="s">
        <v>414</v>
      </c>
      <c r="C182" s="19" t="s">
        <v>10</v>
      </c>
      <c r="D182" s="20">
        <v>600</v>
      </c>
      <c r="E182" s="19" t="s">
        <v>11</v>
      </c>
      <c r="F182" s="19">
        <v>1500</v>
      </c>
      <c r="G182" s="19">
        <v>0</v>
      </c>
      <c r="H182" s="19"/>
      <c r="I182" s="23">
        <f t="shared" si="8"/>
        <v>1500</v>
      </c>
    </row>
    <row r="183" ht="15.75" customHeight="1" spans="7:7">
      <c r="G183" s="33"/>
    </row>
    <row r="184" ht="15.75" customHeight="1" spans="7:7">
      <c r="G184" s="33"/>
    </row>
    <row r="185" ht="15.75" customHeight="1" spans="7:7">
      <c r="G185" s="33"/>
    </row>
    <row r="186" ht="15.75" customHeight="1" spans="7:7">
      <c r="G186" s="33"/>
    </row>
    <row r="187" ht="15.75" customHeight="1" spans="7:7">
      <c r="G187" s="33"/>
    </row>
    <row r="188" ht="15.75" customHeight="1" spans="7:7">
      <c r="G188" s="33"/>
    </row>
    <row r="189" ht="15.75" customHeight="1" spans="7:7">
      <c r="G189" s="33"/>
    </row>
    <row r="190" ht="15.75" customHeight="1" spans="7:7">
      <c r="G190" s="33"/>
    </row>
    <row r="191" ht="15.75" customHeight="1" spans="7:7">
      <c r="G191" s="33"/>
    </row>
    <row r="192" ht="15.75" customHeight="1" spans="7:7">
      <c r="G192" s="33"/>
    </row>
    <row r="193" ht="15.75" customHeight="1" spans="7:7">
      <c r="G193" s="33"/>
    </row>
    <row r="194" ht="15.75" customHeight="1" spans="7:7">
      <c r="G194" s="33"/>
    </row>
    <row r="195" ht="15.75" customHeight="1" spans="7:7">
      <c r="G195" s="33"/>
    </row>
    <row r="196" ht="15.75" customHeight="1" spans="7:7">
      <c r="G196" s="33"/>
    </row>
    <row r="197" ht="15.75" customHeight="1" spans="7:7">
      <c r="G197" s="33"/>
    </row>
    <row r="198" ht="15.75" customHeight="1" spans="7:7">
      <c r="G198" s="33"/>
    </row>
    <row r="199" ht="15.75" customHeight="1" spans="7:7">
      <c r="G199" s="33"/>
    </row>
    <row r="200" ht="15.75" customHeight="1" spans="7:7">
      <c r="G200" s="33"/>
    </row>
    <row r="201" ht="15.75" customHeight="1" spans="7:7">
      <c r="G201" s="33"/>
    </row>
    <row r="202" ht="15.75" customHeight="1" spans="7:7">
      <c r="G202" s="33"/>
    </row>
    <row r="203" ht="15.75" customHeight="1" spans="7:7">
      <c r="G203" s="33"/>
    </row>
    <row r="204" ht="15.75" customHeight="1" spans="7:7">
      <c r="G204" s="33"/>
    </row>
    <row r="205" ht="15.75" customHeight="1" spans="7:7">
      <c r="G205" s="33"/>
    </row>
    <row r="206" ht="15.75" customHeight="1" spans="7:7">
      <c r="G206" s="33"/>
    </row>
    <row r="207" ht="15.75" customHeight="1" spans="7:7">
      <c r="G207" s="33"/>
    </row>
    <row r="208" ht="15.75" customHeight="1" spans="7:7">
      <c r="G208" s="33"/>
    </row>
    <row r="209" ht="15.75" customHeight="1" spans="7:7">
      <c r="G209" s="33"/>
    </row>
    <row r="210" ht="15.75" customHeight="1" spans="7:7">
      <c r="G210" s="33"/>
    </row>
    <row r="211" ht="15.75" customHeight="1" spans="7:7">
      <c r="G211" s="33"/>
    </row>
    <row r="212" ht="15.75" customHeight="1" spans="7:7">
      <c r="G212" s="33"/>
    </row>
    <row r="213" ht="15.75" customHeight="1" spans="7:7">
      <c r="G213" s="33"/>
    </row>
    <row r="214" ht="15.75" customHeight="1" spans="7:7">
      <c r="G214" s="33"/>
    </row>
    <row r="215" ht="15.75" customHeight="1" spans="7:7">
      <c r="G215" s="33"/>
    </row>
    <row r="216" ht="15.75" customHeight="1" spans="7:7">
      <c r="G216" s="33"/>
    </row>
    <row r="217" ht="15.75" customHeight="1" spans="7:7">
      <c r="G217" s="33"/>
    </row>
    <row r="218" ht="15.75" customHeight="1" spans="7:7">
      <c r="G218" s="33"/>
    </row>
    <row r="219" ht="15.75" customHeight="1" spans="7:7">
      <c r="G219" s="33"/>
    </row>
    <row r="220" ht="15.75" customHeight="1" spans="7:7">
      <c r="G220" s="33"/>
    </row>
    <row r="221" ht="15.75" customHeight="1" spans="7:7">
      <c r="G221" s="33"/>
    </row>
    <row r="222" ht="15.75" customHeight="1" spans="7:7">
      <c r="G222" s="33"/>
    </row>
    <row r="223" ht="15.75" customHeight="1" spans="7:7">
      <c r="G223" s="33"/>
    </row>
    <row r="224" ht="15.75" customHeight="1" spans="7:7">
      <c r="G224" s="33"/>
    </row>
    <row r="225" ht="15.75" customHeight="1" spans="7:7">
      <c r="G225" s="33"/>
    </row>
    <row r="226" ht="15.75" customHeight="1" spans="7:7">
      <c r="G226" s="33"/>
    </row>
    <row r="227" ht="15.75" customHeight="1" spans="7:7">
      <c r="G227" s="33"/>
    </row>
    <row r="228" ht="15.75" customHeight="1" spans="7:7">
      <c r="G228" s="33"/>
    </row>
    <row r="229" ht="15.75" customHeight="1" spans="7:7">
      <c r="G229" s="33"/>
    </row>
    <row r="230" ht="15.75" customHeight="1" spans="7:7">
      <c r="G230" s="33"/>
    </row>
    <row r="231" ht="15.75" customHeight="1" spans="7:7">
      <c r="G231" s="33"/>
    </row>
    <row r="232" ht="15.75" customHeight="1" spans="7:7">
      <c r="G232" s="33"/>
    </row>
    <row r="233" ht="15.75" customHeight="1" spans="7:7">
      <c r="G233" s="33"/>
    </row>
    <row r="234" ht="15.75" customHeight="1" spans="7:7">
      <c r="G234" s="33"/>
    </row>
    <row r="235" ht="15.75" customHeight="1" spans="7:7">
      <c r="G235" s="33"/>
    </row>
    <row r="236" ht="15.75" customHeight="1" spans="7:7">
      <c r="G236" s="33"/>
    </row>
    <row r="237" ht="15.75" customHeight="1" spans="7:7">
      <c r="G237" s="33"/>
    </row>
    <row r="238" ht="15.75" customHeight="1" spans="7:7">
      <c r="G238" s="33"/>
    </row>
    <row r="239" ht="15.75" customHeight="1" spans="7:7">
      <c r="G239" s="33"/>
    </row>
    <row r="240" ht="15.75" customHeight="1" spans="7:7">
      <c r="G240" s="33"/>
    </row>
    <row r="241" ht="15.75" customHeight="1" spans="7:7">
      <c r="G241" s="33"/>
    </row>
    <row r="242" ht="15.75" customHeight="1" spans="7:7">
      <c r="G242" s="33"/>
    </row>
    <row r="243" ht="15.75" customHeight="1" spans="7:7">
      <c r="G243" s="33"/>
    </row>
    <row r="244" ht="15.75" customHeight="1" spans="7:7">
      <c r="G244" s="33"/>
    </row>
    <row r="245" ht="15.75" customHeight="1" spans="7:7">
      <c r="G245" s="33"/>
    </row>
    <row r="246" ht="15.75" customHeight="1" spans="7:7">
      <c r="G246" s="33"/>
    </row>
    <row r="247" ht="15.75" customHeight="1" spans="7:7">
      <c r="G247" s="33"/>
    </row>
    <row r="248" ht="15.75" customHeight="1" spans="7:7">
      <c r="G248" s="33"/>
    </row>
    <row r="249" ht="15.75" customHeight="1" spans="7:7">
      <c r="G249" s="33"/>
    </row>
    <row r="250" ht="15.75" customHeight="1" spans="7:7">
      <c r="G250" s="33"/>
    </row>
    <row r="251" ht="15.75" customHeight="1" spans="7:7">
      <c r="G251" s="33"/>
    </row>
    <row r="252" ht="15.75" customHeight="1" spans="7:7">
      <c r="G252" s="33"/>
    </row>
    <row r="253" ht="15.75" customHeight="1" spans="7:7">
      <c r="G253" s="33"/>
    </row>
    <row r="254" ht="15.75" customHeight="1" spans="7:7">
      <c r="G254" s="33"/>
    </row>
    <row r="255" ht="15.75" customHeight="1" spans="7:7">
      <c r="G255" s="33"/>
    </row>
    <row r="256" ht="15.75" customHeight="1" spans="7:7">
      <c r="G256" s="33"/>
    </row>
    <row r="257" ht="15.75" customHeight="1" spans="7:7">
      <c r="G257" s="33"/>
    </row>
    <row r="258" ht="15.75" customHeight="1" spans="7:7">
      <c r="G258" s="33"/>
    </row>
    <row r="259" ht="15.75" customHeight="1" spans="7:7">
      <c r="G259" s="33"/>
    </row>
    <row r="260" ht="15.75" customHeight="1" spans="7:7">
      <c r="G260" s="33"/>
    </row>
    <row r="261" ht="15.75" customHeight="1" spans="7:7">
      <c r="G261" s="33"/>
    </row>
    <row r="262" ht="15.75" customHeight="1" spans="7:7">
      <c r="G262" s="33"/>
    </row>
    <row r="263" ht="15.75" customHeight="1" spans="7:7">
      <c r="G263" s="33"/>
    </row>
    <row r="264" ht="15.75" customHeight="1" spans="7:7">
      <c r="G264" s="33"/>
    </row>
    <row r="265" ht="15.75" customHeight="1" spans="7:7">
      <c r="G265" s="33"/>
    </row>
    <row r="266" ht="15.75" customHeight="1" spans="7:7">
      <c r="G266" s="33"/>
    </row>
    <row r="267" ht="15.75" customHeight="1" spans="7:7">
      <c r="G267" s="33"/>
    </row>
    <row r="268" ht="15.75" customHeight="1" spans="7:7">
      <c r="G268" s="33"/>
    </row>
    <row r="269" ht="15.75" customHeight="1" spans="7:7">
      <c r="G269" s="33"/>
    </row>
    <row r="270" ht="15.75" customHeight="1" spans="7:7">
      <c r="G270" s="33"/>
    </row>
    <row r="271" ht="15.75" customHeight="1" spans="7:7">
      <c r="G271" s="33"/>
    </row>
    <row r="272" ht="15.75" customHeight="1" spans="7:7">
      <c r="G272" s="33"/>
    </row>
    <row r="273" ht="15.75" customHeight="1" spans="7:7">
      <c r="G273" s="33"/>
    </row>
    <row r="274" ht="15.75" customHeight="1" spans="7:7">
      <c r="G274" s="33"/>
    </row>
    <row r="275" ht="15.75" customHeight="1" spans="7:7">
      <c r="G275" s="33"/>
    </row>
    <row r="276" ht="15.75" customHeight="1" spans="7:7">
      <c r="G276" s="33"/>
    </row>
    <row r="277" ht="15.75" customHeight="1" spans="7:7">
      <c r="G277" s="33"/>
    </row>
    <row r="278" ht="15.75" customHeight="1" spans="7:7">
      <c r="G278" s="33"/>
    </row>
    <row r="279" ht="15.75" customHeight="1" spans="7:7">
      <c r="G279" s="33"/>
    </row>
    <row r="280" ht="15.75" customHeight="1" spans="7:7">
      <c r="G280" s="33"/>
    </row>
    <row r="281" ht="15.75" customHeight="1" spans="7:7">
      <c r="G281" s="33"/>
    </row>
    <row r="282" ht="15.75" customHeight="1" spans="7:7">
      <c r="G282" s="33"/>
    </row>
    <row r="283" ht="15.75" customHeight="1" spans="7:7">
      <c r="G283" s="33"/>
    </row>
    <row r="284" ht="15.75" customHeight="1" spans="7:7">
      <c r="G284" s="33"/>
    </row>
    <row r="285" ht="15.75" customHeight="1" spans="7:7">
      <c r="G285" s="33"/>
    </row>
    <row r="286" ht="15.75" customHeight="1" spans="7:7">
      <c r="G286" s="33"/>
    </row>
    <row r="287" ht="15.75" customHeight="1" spans="7:7">
      <c r="G287" s="33"/>
    </row>
    <row r="288" ht="15.75" customHeight="1" spans="7:7">
      <c r="G288" s="33"/>
    </row>
    <row r="289" ht="15.75" customHeight="1" spans="7:7">
      <c r="G289" s="33"/>
    </row>
    <row r="290" ht="15.75" customHeight="1" spans="7:7">
      <c r="G290" s="33"/>
    </row>
    <row r="291" ht="15.75" customHeight="1" spans="7:7">
      <c r="G291" s="33"/>
    </row>
    <row r="292" ht="15.75" customHeight="1" spans="7:7">
      <c r="G292" s="33"/>
    </row>
    <row r="293" ht="15.75" customHeight="1" spans="7:7">
      <c r="G293" s="33"/>
    </row>
    <row r="294" ht="15.75" customHeight="1" spans="7:7">
      <c r="G294" s="33"/>
    </row>
    <row r="295" ht="15.75" customHeight="1" spans="7:7">
      <c r="G295" s="33"/>
    </row>
    <row r="296" ht="15.75" customHeight="1" spans="7:7">
      <c r="G296" s="33"/>
    </row>
    <row r="297" ht="15.75" customHeight="1" spans="7:7">
      <c r="G297" s="33"/>
    </row>
    <row r="298" ht="15.75" customHeight="1" spans="7:7">
      <c r="G298" s="33"/>
    </row>
    <row r="299" ht="15.75" customHeight="1" spans="7:7">
      <c r="G299" s="33"/>
    </row>
    <row r="300" ht="15.75" customHeight="1" spans="7:7">
      <c r="G300" s="33"/>
    </row>
    <row r="301" ht="15.75" customHeight="1" spans="7:7">
      <c r="G301" s="33"/>
    </row>
    <row r="302" ht="15.75" customHeight="1" spans="7:7">
      <c r="G302" s="33"/>
    </row>
    <row r="303" ht="15.75" customHeight="1" spans="7:7">
      <c r="G303" s="33"/>
    </row>
    <row r="304" ht="15.75" customHeight="1" spans="7:7">
      <c r="G304" s="33"/>
    </row>
    <row r="305" ht="15.75" customHeight="1" spans="7:7">
      <c r="G305" s="33"/>
    </row>
    <row r="306" ht="15.75" customHeight="1" spans="7:7">
      <c r="G306" s="33"/>
    </row>
    <row r="307" ht="15.75" customHeight="1" spans="7:7">
      <c r="G307" s="33"/>
    </row>
    <row r="308" ht="15.75" customHeight="1" spans="7:7">
      <c r="G308" s="33"/>
    </row>
    <row r="309" ht="15.75" customHeight="1" spans="7:7">
      <c r="G309" s="33"/>
    </row>
    <row r="310" ht="15.75" customHeight="1" spans="7:7">
      <c r="G310" s="33"/>
    </row>
    <row r="311" ht="15.75" customHeight="1" spans="7:7">
      <c r="G311" s="33"/>
    </row>
    <row r="312" ht="15.75" customHeight="1" spans="7:7">
      <c r="G312" s="33"/>
    </row>
    <row r="313" ht="15.75" customHeight="1" spans="7:7">
      <c r="G313" s="33"/>
    </row>
    <row r="314" ht="15.75" customHeight="1" spans="7:7">
      <c r="G314" s="33"/>
    </row>
    <row r="315" ht="15.75" customHeight="1" spans="7:7">
      <c r="G315" s="33"/>
    </row>
    <row r="316" ht="15.75" customHeight="1" spans="7:7">
      <c r="G316" s="33"/>
    </row>
    <row r="317" ht="15.75" customHeight="1" spans="7:7">
      <c r="G317" s="33"/>
    </row>
    <row r="318" ht="15.75" customHeight="1" spans="7:7">
      <c r="G318" s="33"/>
    </row>
    <row r="319" ht="15.75" customHeight="1" spans="7:7">
      <c r="G319" s="33"/>
    </row>
    <row r="320" ht="15.75" customHeight="1" spans="7:7">
      <c r="G320" s="33"/>
    </row>
    <row r="321" ht="15.75" customHeight="1" spans="7:7">
      <c r="G321" s="33"/>
    </row>
    <row r="322" ht="15.75" customHeight="1" spans="7:7">
      <c r="G322" s="33"/>
    </row>
    <row r="323" ht="15.75" customHeight="1" spans="7:7">
      <c r="G323" s="33"/>
    </row>
    <row r="324" ht="15.75" customHeight="1" spans="7:7">
      <c r="G324" s="33"/>
    </row>
    <row r="325" ht="15.75" customHeight="1" spans="7:7">
      <c r="G325" s="33"/>
    </row>
    <row r="326" ht="15.75" customHeight="1" spans="7:7">
      <c r="G326" s="33"/>
    </row>
    <row r="327" ht="15.75" customHeight="1" spans="7:7">
      <c r="G327" s="33"/>
    </row>
    <row r="328" ht="15.75" customHeight="1" spans="7:7">
      <c r="G328" s="33"/>
    </row>
    <row r="329" ht="15.75" customHeight="1" spans="7:7">
      <c r="G329" s="33"/>
    </row>
    <row r="330" ht="15.75" customHeight="1" spans="7:7">
      <c r="G330" s="33"/>
    </row>
    <row r="331" ht="15.75" customHeight="1" spans="7:7">
      <c r="G331" s="33"/>
    </row>
    <row r="332" ht="15.75" customHeight="1" spans="7:7">
      <c r="G332" s="33"/>
    </row>
    <row r="333" ht="15.75" customHeight="1" spans="7:7">
      <c r="G333" s="33"/>
    </row>
    <row r="334" ht="15.75" customHeight="1" spans="7:7">
      <c r="G334" s="33"/>
    </row>
    <row r="335" ht="15.75" customHeight="1" spans="7:7">
      <c r="G335" s="33"/>
    </row>
    <row r="336" ht="15.75" customHeight="1" spans="7:7">
      <c r="G336" s="33"/>
    </row>
    <row r="337" ht="15.75" customHeight="1" spans="7:7">
      <c r="G337" s="33"/>
    </row>
    <row r="338" ht="15.75" customHeight="1" spans="7:7">
      <c r="G338" s="33"/>
    </row>
    <row r="339" ht="15.75" customHeight="1" spans="7:7">
      <c r="G339" s="33"/>
    </row>
    <row r="340" ht="15.75" customHeight="1" spans="7:7">
      <c r="G340" s="33"/>
    </row>
    <row r="341" ht="15.75" customHeight="1" spans="7:7">
      <c r="G341" s="33"/>
    </row>
    <row r="342" ht="15.75" customHeight="1" spans="7:7">
      <c r="G342" s="33"/>
    </row>
    <row r="343" ht="15.75" customHeight="1" spans="7:7">
      <c r="G343" s="33"/>
    </row>
    <row r="344" ht="15.75" customHeight="1" spans="7:7">
      <c r="G344" s="33"/>
    </row>
    <row r="345" ht="15.75" customHeight="1" spans="7:7">
      <c r="G345" s="33"/>
    </row>
    <row r="346" ht="15.75" customHeight="1" spans="7:7">
      <c r="G346" s="33"/>
    </row>
    <row r="347" ht="15.75" customHeight="1" spans="7:7">
      <c r="G347" s="33"/>
    </row>
    <row r="348" ht="15.75" customHeight="1" spans="7:7">
      <c r="G348" s="33"/>
    </row>
    <row r="349" ht="15.75" customHeight="1" spans="7:7">
      <c r="G349" s="33"/>
    </row>
    <row r="350" ht="15.75" customHeight="1" spans="7:7">
      <c r="G350" s="33"/>
    </row>
    <row r="351" ht="15.75" customHeight="1" spans="7:7">
      <c r="G351" s="33"/>
    </row>
    <row r="352" ht="15.75" customHeight="1" spans="7:7">
      <c r="G352" s="33"/>
    </row>
    <row r="353" ht="15.75" customHeight="1" spans="7:7">
      <c r="G353" s="33"/>
    </row>
    <row r="354" ht="15.75" customHeight="1" spans="7:7">
      <c r="G354" s="33"/>
    </row>
    <row r="355" ht="15.75" customHeight="1" spans="7:7">
      <c r="G355" s="33"/>
    </row>
    <row r="356" ht="15.75" customHeight="1" spans="7:7">
      <c r="G356" s="33"/>
    </row>
    <row r="357" ht="15.75" customHeight="1" spans="7:7">
      <c r="G357" s="33"/>
    </row>
    <row r="358" ht="15.75" customHeight="1" spans="7:7">
      <c r="G358" s="33"/>
    </row>
    <row r="359" ht="15.75" customHeight="1" spans="7:7">
      <c r="G359" s="33"/>
    </row>
    <row r="360" ht="15.75" customHeight="1" spans="7:7">
      <c r="G360" s="33"/>
    </row>
    <row r="361" ht="15.75" customHeight="1" spans="7:7">
      <c r="G361" s="33"/>
    </row>
    <row r="362" ht="15.75" customHeight="1" spans="7:7">
      <c r="G362" s="33"/>
    </row>
    <row r="363" ht="15.75" customHeight="1" spans="7:7">
      <c r="G363" s="33"/>
    </row>
    <row r="364" ht="15.75" customHeight="1" spans="7:7">
      <c r="G364" s="33"/>
    </row>
    <row r="365" ht="15.75" customHeight="1" spans="7:7">
      <c r="G365" s="33"/>
    </row>
    <row r="366" ht="15.75" customHeight="1" spans="7:7">
      <c r="G366" s="33"/>
    </row>
    <row r="367" ht="15.75" customHeight="1" spans="7:7">
      <c r="G367" s="33"/>
    </row>
    <row r="368" ht="15.75" customHeight="1" spans="7:7">
      <c r="G368" s="33"/>
    </row>
    <row r="369" ht="15.75" customHeight="1" spans="7:7">
      <c r="G369" s="33"/>
    </row>
    <row r="370" ht="15.75" customHeight="1" spans="7:7">
      <c r="G370" s="33"/>
    </row>
    <row r="371" ht="15.75" customHeight="1" spans="7:7">
      <c r="G371" s="33"/>
    </row>
    <row r="372" ht="15.75" customHeight="1" spans="7:7">
      <c r="G372" s="33"/>
    </row>
    <row r="373" ht="15.75" customHeight="1" spans="7:7">
      <c r="G373" s="33"/>
    </row>
    <row r="374" ht="15.75" customHeight="1" spans="7:7">
      <c r="G374" s="33"/>
    </row>
    <row r="375" ht="15.75" customHeight="1" spans="7:7">
      <c r="G375" s="33"/>
    </row>
    <row r="376" ht="15.75" customHeight="1" spans="7:7">
      <c r="G376" s="33"/>
    </row>
    <row r="377" ht="15.75" customHeight="1" spans="7:7">
      <c r="G377" s="33"/>
    </row>
    <row r="378" ht="15.75" customHeight="1" spans="7:7">
      <c r="G378" s="33"/>
    </row>
    <row r="379" ht="15.75" customHeight="1" spans="7:7">
      <c r="G379" s="33"/>
    </row>
    <row r="380" ht="15.75" customHeight="1" spans="7:7">
      <c r="G380" s="33"/>
    </row>
    <row r="381" ht="15.75" customHeight="1" spans="7:7">
      <c r="G381" s="33"/>
    </row>
    <row r="382" ht="15.75" customHeight="1" spans="7:7">
      <c r="G382" s="33"/>
    </row>
    <row r="383" ht="15.75" customHeight="1" spans="7:7">
      <c r="G383" s="33"/>
    </row>
    <row r="384" ht="15.75" customHeight="1" spans="7:7">
      <c r="G384" s="33"/>
    </row>
    <row r="385" ht="15.75" customHeight="1" spans="7:7">
      <c r="G385" s="33"/>
    </row>
    <row r="386" ht="15.75" customHeight="1" spans="7:7">
      <c r="G386" s="33"/>
    </row>
    <row r="387" ht="15.75" customHeight="1" spans="7:7">
      <c r="G387" s="33"/>
    </row>
    <row r="388" ht="15.75" customHeight="1" spans="7:7">
      <c r="G388" s="33"/>
    </row>
    <row r="389" ht="15.75" customHeight="1" spans="7:7">
      <c r="G389" s="33"/>
    </row>
    <row r="390" ht="15.75" customHeight="1" spans="7:7">
      <c r="G390" s="33"/>
    </row>
    <row r="391" ht="15.75" customHeight="1" spans="7:7">
      <c r="G391" s="33"/>
    </row>
    <row r="392" ht="15.75" customHeight="1" spans="7:7">
      <c r="G392" s="33"/>
    </row>
    <row r="393" ht="15.75" customHeight="1" spans="7:7">
      <c r="G393" s="33"/>
    </row>
    <row r="394" ht="15.75" customHeight="1" spans="7:7">
      <c r="G394" s="33"/>
    </row>
    <row r="395" ht="15.75" customHeight="1" spans="7:7">
      <c r="G395" s="33"/>
    </row>
    <row r="396" ht="15.75" customHeight="1" spans="7:7">
      <c r="G396" s="33"/>
    </row>
    <row r="397" ht="15.75" customHeight="1" spans="7:7">
      <c r="G397" s="33"/>
    </row>
    <row r="398" ht="15.75" customHeight="1" spans="7:7">
      <c r="G398" s="33"/>
    </row>
    <row r="399" ht="15.75" customHeight="1" spans="7:7">
      <c r="G399" s="33"/>
    </row>
    <row r="400" ht="15.75" customHeight="1" spans="7:7">
      <c r="G400" s="33"/>
    </row>
    <row r="401" ht="15.75" customHeight="1" spans="7:7">
      <c r="G401" s="33"/>
    </row>
    <row r="402" ht="15.75" customHeight="1" spans="7:7">
      <c r="G402" s="33"/>
    </row>
    <row r="403" ht="15.75" customHeight="1" spans="7:7">
      <c r="G403" s="33"/>
    </row>
    <row r="404" ht="15.75" customHeight="1" spans="7:7">
      <c r="G404" s="33"/>
    </row>
    <row r="405" ht="15.75" customHeight="1" spans="7:7">
      <c r="G405" s="33"/>
    </row>
    <row r="406" ht="15.75" customHeight="1" spans="7:7">
      <c r="G406" s="33"/>
    </row>
    <row r="407" ht="15.75" customHeight="1" spans="7:7">
      <c r="G407" s="33"/>
    </row>
    <row r="408" ht="15.75" customHeight="1" spans="7:7">
      <c r="G408" s="33"/>
    </row>
    <row r="409" ht="15.75" customHeight="1" spans="7:7">
      <c r="G409" s="33"/>
    </row>
    <row r="410" ht="15.75" customHeight="1" spans="7:7">
      <c r="G410" s="33"/>
    </row>
    <row r="411" ht="15.75" customHeight="1" spans="7:7">
      <c r="G411" s="33"/>
    </row>
    <row r="412" ht="15.75" customHeight="1" spans="7:7">
      <c r="G412" s="33"/>
    </row>
    <row r="413" ht="15.75" customHeight="1" spans="7:7">
      <c r="G413" s="33"/>
    </row>
    <row r="414" ht="15.75" customHeight="1" spans="7:7">
      <c r="G414" s="33"/>
    </row>
    <row r="415" ht="15.75" customHeight="1" spans="7:7">
      <c r="G415" s="33"/>
    </row>
    <row r="416" ht="15.75" customHeight="1" spans="7:7">
      <c r="G416" s="33"/>
    </row>
    <row r="417" ht="15.75" customHeight="1" spans="7:7">
      <c r="G417" s="33"/>
    </row>
    <row r="418" ht="15.75" customHeight="1" spans="7:7">
      <c r="G418" s="33"/>
    </row>
    <row r="419" ht="15.75" customHeight="1" spans="7:7">
      <c r="G419" s="33"/>
    </row>
    <row r="420" ht="15.75" customHeight="1" spans="7:7">
      <c r="G420" s="33"/>
    </row>
    <row r="421" ht="15.75" customHeight="1" spans="7:7">
      <c r="G421" s="33"/>
    </row>
    <row r="422" ht="15.75" customHeight="1" spans="7:7">
      <c r="G422" s="33"/>
    </row>
    <row r="423" ht="15.75" customHeight="1" spans="7:7">
      <c r="G423" s="33"/>
    </row>
    <row r="424" ht="15.75" customHeight="1" spans="7:7">
      <c r="G424" s="33"/>
    </row>
    <row r="425" ht="15.75" customHeight="1" spans="7:7">
      <c r="G425" s="33"/>
    </row>
    <row r="426" ht="15.75" customHeight="1" spans="7:7">
      <c r="G426" s="33"/>
    </row>
    <row r="427" ht="15.75" customHeight="1" spans="7:7">
      <c r="G427" s="33"/>
    </row>
    <row r="428" ht="15.75" customHeight="1" spans="7:7">
      <c r="G428" s="33"/>
    </row>
    <row r="429" ht="15.75" customHeight="1" spans="7:7">
      <c r="G429" s="33"/>
    </row>
    <row r="430" ht="15.75" customHeight="1" spans="7:7">
      <c r="G430" s="33"/>
    </row>
    <row r="431" ht="15.75" customHeight="1" spans="7:7">
      <c r="G431" s="33"/>
    </row>
    <row r="432" ht="15.75" customHeight="1" spans="7:7">
      <c r="G432" s="33"/>
    </row>
    <row r="433" ht="15.75" customHeight="1" spans="7:7">
      <c r="G433" s="33"/>
    </row>
    <row r="434" ht="15.75" customHeight="1" spans="7:7">
      <c r="G434" s="33"/>
    </row>
    <row r="435" ht="15.75" customHeight="1" spans="7:7">
      <c r="G435" s="33"/>
    </row>
    <row r="436" ht="15.75" customHeight="1" spans="7:7">
      <c r="G436" s="33"/>
    </row>
    <row r="437" ht="15.75" customHeight="1" spans="7:7">
      <c r="G437" s="33"/>
    </row>
    <row r="438" ht="15.75" customHeight="1" spans="7:7">
      <c r="G438" s="33"/>
    </row>
    <row r="439" ht="15.75" customHeight="1" spans="7:7">
      <c r="G439" s="33"/>
    </row>
    <row r="440" ht="15.75" customHeight="1" spans="7:7">
      <c r="G440" s="33"/>
    </row>
    <row r="441" ht="15.75" customHeight="1" spans="7:7">
      <c r="G441" s="33"/>
    </row>
    <row r="442" ht="15.75" customHeight="1" spans="7:7">
      <c r="G442" s="33"/>
    </row>
    <row r="443" ht="15.75" customHeight="1" spans="7:7">
      <c r="G443" s="33"/>
    </row>
    <row r="444" ht="15.75" customHeight="1" spans="7:7">
      <c r="G444" s="33"/>
    </row>
    <row r="445" ht="15.75" customHeight="1" spans="7:7">
      <c r="G445" s="33"/>
    </row>
    <row r="446" ht="15.75" customHeight="1" spans="7:7">
      <c r="G446" s="33"/>
    </row>
    <row r="447" ht="15.75" customHeight="1" spans="7:7">
      <c r="G447" s="33"/>
    </row>
    <row r="448" ht="15.75" customHeight="1" spans="7:7">
      <c r="G448" s="33"/>
    </row>
    <row r="449" ht="15.75" customHeight="1" spans="7:7">
      <c r="G449" s="33"/>
    </row>
    <row r="450" ht="15.75" customHeight="1" spans="7:7">
      <c r="G450" s="33"/>
    </row>
    <row r="451" ht="15.75" customHeight="1" spans="7:7">
      <c r="G451" s="33"/>
    </row>
    <row r="452" ht="15.75" customHeight="1" spans="7:7">
      <c r="G452" s="33"/>
    </row>
    <row r="453" ht="15.75" customHeight="1" spans="7:7">
      <c r="G453" s="33"/>
    </row>
    <row r="454" ht="15.75" customHeight="1" spans="7:7">
      <c r="G454" s="33"/>
    </row>
    <row r="455" ht="15.75" customHeight="1" spans="7:7">
      <c r="G455" s="33"/>
    </row>
    <row r="456" ht="15.75" customHeight="1" spans="7:7">
      <c r="G456" s="33"/>
    </row>
    <row r="457" ht="15.75" customHeight="1" spans="7:7">
      <c r="G457" s="33"/>
    </row>
    <row r="458" ht="15.75" customHeight="1" spans="7:7">
      <c r="G458" s="33"/>
    </row>
    <row r="459" ht="15.75" customHeight="1" spans="7:7">
      <c r="G459" s="33"/>
    </row>
    <row r="460" ht="15.75" customHeight="1" spans="7:7">
      <c r="G460" s="33"/>
    </row>
    <row r="461" ht="15.75" customHeight="1" spans="7:7">
      <c r="G461" s="33"/>
    </row>
    <row r="462" ht="15.75" customHeight="1" spans="7:7">
      <c r="G462" s="33"/>
    </row>
    <row r="463" ht="15.75" customHeight="1" spans="7:7">
      <c r="G463" s="33"/>
    </row>
    <row r="464" ht="15.75" customHeight="1" spans="7:7">
      <c r="G464" s="33"/>
    </row>
    <row r="465" ht="15.75" customHeight="1" spans="7:7">
      <c r="G465" s="33"/>
    </row>
    <row r="466" ht="15.75" customHeight="1" spans="7:7">
      <c r="G466" s="33"/>
    </row>
    <row r="467" ht="15.75" customHeight="1" spans="7:7">
      <c r="G467" s="33"/>
    </row>
    <row r="468" ht="15.75" customHeight="1" spans="7:7">
      <c r="G468" s="33"/>
    </row>
    <row r="469" ht="15.75" customHeight="1" spans="7:7">
      <c r="G469" s="33"/>
    </row>
    <row r="470" ht="15.75" customHeight="1" spans="7:7">
      <c r="G470" s="33"/>
    </row>
    <row r="471" ht="15.75" customHeight="1" spans="7:7">
      <c r="G471" s="33"/>
    </row>
    <row r="472" ht="15.75" customHeight="1" spans="7:7">
      <c r="G472" s="33"/>
    </row>
    <row r="473" ht="15.75" customHeight="1" spans="7:7">
      <c r="G473" s="33"/>
    </row>
    <row r="474" ht="15.75" customHeight="1" spans="7:7">
      <c r="G474" s="33"/>
    </row>
    <row r="475" ht="15.75" customHeight="1" spans="7:7">
      <c r="G475" s="33"/>
    </row>
    <row r="476" ht="15.75" customHeight="1" spans="7:7">
      <c r="G476" s="33"/>
    </row>
    <row r="477" ht="15.75" customHeight="1" spans="7:7">
      <c r="G477" s="33"/>
    </row>
    <row r="478" ht="15.75" customHeight="1" spans="7:7">
      <c r="G478" s="33"/>
    </row>
    <row r="479" ht="15.75" customHeight="1" spans="7:7">
      <c r="G479" s="33"/>
    </row>
    <row r="480" ht="15.75" customHeight="1" spans="7:7">
      <c r="G480" s="33"/>
    </row>
    <row r="481" ht="15.75" customHeight="1" spans="7:7">
      <c r="G481" s="33"/>
    </row>
    <row r="482" ht="15.75" customHeight="1" spans="7:7">
      <c r="G482" s="33"/>
    </row>
    <row r="483" ht="15.75" customHeight="1" spans="7:7">
      <c r="G483" s="33"/>
    </row>
    <row r="484" ht="15.75" customHeight="1" spans="7:7">
      <c r="G484" s="33"/>
    </row>
    <row r="485" ht="15.75" customHeight="1" spans="7:7">
      <c r="G485" s="33"/>
    </row>
    <row r="486" ht="15.75" customHeight="1" spans="7:7">
      <c r="G486" s="33"/>
    </row>
    <row r="487" ht="15.75" customHeight="1" spans="7:7">
      <c r="G487" s="33"/>
    </row>
    <row r="488" ht="15.75" customHeight="1" spans="7:7">
      <c r="G488" s="33"/>
    </row>
    <row r="489" ht="15.75" customHeight="1" spans="7:7">
      <c r="G489" s="33"/>
    </row>
    <row r="490" ht="15.75" customHeight="1" spans="7:7">
      <c r="G490" s="33"/>
    </row>
    <row r="491" ht="15.75" customHeight="1" spans="7:7">
      <c r="G491" s="33"/>
    </row>
    <row r="492" ht="15.75" customHeight="1" spans="7:7">
      <c r="G492" s="33"/>
    </row>
    <row r="493" ht="15.75" customHeight="1" spans="7:7">
      <c r="G493" s="33"/>
    </row>
    <row r="494" ht="15.75" customHeight="1" spans="7:7">
      <c r="G494" s="33"/>
    </row>
    <row r="495" ht="15.75" customHeight="1" spans="7:7">
      <c r="G495" s="33"/>
    </row>
    <row r="496" ht="15.75" customHeight="1" spans="7:7">
      <c r="G496" s="33"/>
    </row>
    <row r="497" ht="15.75" customHeight="1" spans="7:7">
      <c r="G497" s="33"/>
    </row>
    <row r="498" ht="15.75" customHeight="1" spans="7:7">
      <c r="G498" s="33"/>
    </row>
    <row r="499" ht="15.75" customHeight="1" spans="7:7">
      <c r="G499" s="33"/>
    </row>
    <row r="500" ht="15.75" customHeight="1" spans="7:7">
      <c r="G500" s="33"/>
    </row>
    <row r="501" ht="15.75" customHeight="1" spans="7:7">
      <c r="G501" s="33"/>
    </row>
    <row r="502" ht="15.75" customHeight="1" spans="7:7">
      <c r="G502" s="33"/>
    </row>
    <row r="503" ht="15.75" customHeight="1" spans="7:7">
      <c r="G503" s="33"/>
    </row>
    <row r="504" ht="15.75" customHeight="1" spans="7:7">
      <c r="G504" s="33"/>
    </row>
    <row r="505" ht="15.75" customHeight="1" spans="7:7">
      <c r="G505" s="33"/>
    </row>
    <row r="506" ht="15.75" customHeight="1" spans="7:7">
      <c r="G506" s="33"/>
    </row>
    <row r="507" ht="15.75" customHeight="1" spans="7:7">
      <c r="G507" s="33"/>
    </row>
    <row r="508" ht="15.75" customHeight="1" spans="7:7">
      <c r="G508" s="33"/>
    </row>
    <row r="509" ht="15.75" customHeight="1" spans="7:7">
      <c r="G509" s="33"/>
    </row>
    <row r="510" ht="15.75" customHeight="1" spans="7:7">
      <c r="G510" s="33"/>
    </row>
    <row r="511" ht="15.75" customHeight="1" spans="7:7">
      <c r="G511" s="33"/>
    </row>
    <row r="512" ht="15.75" customHeight="1" spans="7:7">
      <c r="G512" s="33"/>
    </row>
    <row r="513" ht="15.75" customHeight="1" spans="7:7">
      <c r="G513" s="33"/>
    </row>
    <row r="514" ht="15.75" customHeight="1" spans="7:7">
      <c r="G514" s="33"/>
    </row>
    <row r="515" ht="15.75" customHeight="1" spans="7:7">
      <c r="G515" s="33"/>
    </row>
    <row r="516" ht="15.75" customHeight="1" spans="7:7">
      <c r="G516" s="33"/>
    </row>
    <row r="517" ht="15.75" customHeight="1" spans="7:7">
      <c r="G517" s="33"/>
    </row>
    <row r="518" ht="15.75" customHeight="1" spans="7:7">
      <c r="G518" s="33"/>
    </row>
    <row r="519" ht="15.75" customHeight="1" spans="7:7">
      <c r="G519" s="33"/>
    </row>
    <row r="520" ht="15.75" customHeight="1" spans="7:7">
      <c r="G520" s="33"/>
    </row>
    <row r="521" ht="15.75" customHeight="1" spans="7:7">
      <c r="G521" s="33"/>
    </row>
    <row r="522" ht="15.75" customHeight="1" spans="7:7">
      <c r="G522" s="33"/>
    </row>
    <row r="523" ht="15.75" customHeight="1" spans="7:7">
      <c r="G523" s="33"/>
    </row>
    <row r="524" ht="15.75" customHeight="1" spans="7:7">
      <c r="G524" s="33"/>
    </row>
    <row r="525" ht="15.75" customHeight="1" spans="7:7">
      <c r="G525" s="33"/>
    </row>
    <row r="526" ht="15.75" customHeight="1" spans="7:7">
      <c r="G526" s="33"/>
    </row>
    <row r="527" ht="15.75" customHeight="1" spans="7:7">
      <c r="G527" s="33"/>
    </row>
    <row r="528" ht="15.75" customHeight="1" spans="7:7">
      <c r="G528" s="33"/>
    </row>
    <row r="529" ht="15.75" customHeight="1" spans="7:7">
      <c r="G529" s="33"/>
    </row>
    <row r="530" ht="15.75" customHeight="1" spans="7:7">
      <c r="G530" s="33"/>
    </row>
    <row r="531" ht="15.75" customHeight="1" spans="7:7">
      <c r="G531" s="33"/>
    </row>
    <row r="532" ht="15.75" customHeight="1" spans="7:7">
      <c r="G532" s="33"/>
    </row>
    <row r="533" ht="15.75" customHeight="1" spans="7:7">
      <c r="G533" s="33"/>
    </row>
    <row r="534" ht="15.75" customHeight="1" spans="7:7">
      <c r="G534" s="33"/>
    </row>
    <row r="535" ht="15.75" customHeight="1" spans="7:7">
      <c r="G535" s="33"/>
    </row>
    <row r="536" ht="15.75" customHeight="1" spans="7:7">
      <c r="G536" s="33"/>
    </row>
    <row r="537" ht="15.75" customHeight="1" spans="7:7">
      <c r="G537" s="33"/>
    </row>
    <row r="538" ht="15.75" customHeight="1" spans="7:7">
      <c r="G538" s="33"/>
    </row>
    <row r="539" ht="15.75" customHeight="1" spans="7:7">
      <c r="G539" s="33"/>
    </row>
    <row r="540" ht="15.75" customHeight="1" spans="7:7">
      <c r="G540" s="33"/>
    </row>
    <row r="541" ht="15.75" customHeight="1" spans="7:7">
      <c r="G541" s="33"/>
    </row>
    <row r="542" ht="15.75" customHeight="1" spans="7:7">
      <c r="G542" s="33"/>
    </row>
    <row r="543" ht="15.75" customHeight="1" spans="7:7">
      <c r="G543" s="33"/>
    </row>
    <row r="544" ht="15.75" customHeight="1" spans="7:7">
      <c r="G544" s="33"/>
    </row>
    <row r="545" ht="15.75" customHeight="1" spans="7:7">
      <c r="G545" s="33"/>
    </row>
    <row r="546" ht="15.75" customHeight="1" spans="7:7">
      <c r="G546" s="33"/>
    </row>
    <row r="547" ht="15.75" customHeight="1" spans="7:7">
      <c r="G547" s="33"/>
    </row>
    <row r="548" ht="15.75" customHeight="1" spans="7:7">
      <c r="G548" s="33"/>
    </row>
    <row r="549" ht="15.75" customHeight="1" spans="7:7">
      <c r="G549" s="33"/>
    </row>
    <row r="550" ht="15.75" customHeight="1" spans="7:7">
      <c r="G550" s="33"/>
    </row>
    <row r="551" ht="15.75" customHeight="1" spans="7:7">
      <c r="G551" s="33"/>
    </row>
    <row r="552" ht="15.75" customHeight="1" spans="7:7">
      <c r="G552" s="33"/>
    </row>
    <row r="553" ht="15.75" customHeight="1" spans="7:7">
      <c r="G553" s="33"/>
    </row>
    <row r="554" ht="15.75" customHeight="1" spans="7:7">
      <c r="G554" s="33"/>
    </row>
    <row r="555" ht="15.75" customHeight="1" spans="7:7">
      <c r="G555" s="33"/>
    </row>
    <row r="556" ht="15.75" customHeight="1" spans="7:7">
      <c r="G556" s="33"/>
    </row>
    <row r="557" ht="15.75" customHeight="1" spans="7:7">
      <c r="G557" s="33"/>
    </row>
    <row r="558" ht="15.75" customHeight="1" spans="7:7">
      <c r="G558" s="33"/>
    </row>
    <row r="559" ht="15.75" customHeight="1" spans="7:7">
      <c r="G559" s="33"/>
    </row>
    <row r="560" ht="15.75" customHeight="1" spans="7:7">
      <c r="G560" s="33"/>
    </row>
    <row r="561" ht="15.75" customHeight="1" spans="7:7">
      <c r="G561" s="33"/>
    </row>
    <row r="562" ht="15.75" customHeight="1" spans="7:7">
      <c r="G562" s="33"/>
    </row>
    <row r="563" ht="15.75" customHeight="1" spans="7:7">
      <c r="G563" s="33"/>
    </row>
    <row r="564" ht="15.75" customHeight="1" spans="7:7">
      <c r="G564" s="33"/>
    </row>
    <row r="565" ht="15.75" customHeight="1" spans="7:7">
      <c r="G565" s="33"/>
    </row>
    <row r="566" ht="15.75" customHeight="1" spans="7:7">
      <c r="G566" s="33"/>
    </row>
    <row r="567" ht="15.75" customHeight="1" spans="7:7">
      <c r="G567" s="33"/>
    </row>
    <row r="568" ht="15.75" customHeight="1" spans="7:7">
      <c r="G568" s="33"/>
    </row>
    <row r="569" ht="15.75" customHeight="1" spans="7:7">
      <c r="G569" s="33"/>
    </row>
    <row r="570" ht="15.75" customHeight="1" spans="7:7">
      <c r="G570" s="33"/>
    </row>
    <row r="571" ht="15.75" customHeight="1" spans="7:7">
      <c r="G571" s="33"/>
    </row>
    <row r="572" ht="15.75" customHeight="1" spans="7:7">
      <c r="G572" s="33"/>
    </row>
    <row r="573" ht="15.75" customHeight="1" spans="7:7">
      <c r="G573" s="33"/>
    </row>
    <row r="574" ht="15.75" customHeight="1" spans="7:7">
      <c r="G574" s="33"/>
    </row>
    <row r="575" ht="15.75" customHeight="1" spans="7:7">
      <c r="G575" s="33"/>
    </row>
    <row r="576" ht="15.75" customHeight="1" spans="7:7">
      <c r="G576" s="33"/>
    </row>
    <row r="577" ht="15.75" customHeight="1" spans="7:7">
      <c r="G577" s="33"/>
    </row>
    <row r="578" ht="15.75" customHeight="1" spans="7:7">
      <c r="G578" s="33"/>
    </row>
    <row r="579" ht="15.75" customHeight="1" spans="7:7">
      <c r="G579" s="33"/>
    </row>
    <row r="580" ht="15.75" customHeight="1" spans="7:7">
      <c r="G580" s="33"/>
    </row>
    <row r="581" ht="15.75" customHeight="1" spans="7:7">
      <c r="G581" s="33"/>
    </row>
    <row r="582" ht="15.75" customHeight="1" spans="7:7">
      <c r="G582" s="33"/>
    </row>
    <row r="583" ht="15.75" customHeight="1" spans="7:7">
      <c r="G583" s="33"/>
    </row>
    <row r="584" ht="15.75" customHeight="1" spans="7:7">
      <c r="G584" s="33"/>
    </row>
    <row r="585" ht="15.75" customHeight="1" spans="7:7">
      <c r="G585" s="33"/>
    </row>
    <row r="586" ht="15.75" customHeight="1" spans="7:7">
      <c r="G586" s="33"/>
    </row>
    <row r="587" ht="15.75" customHeight="1" spans="7:7">
      <c r="G587" s="33"/>
    </row>
    <row r="588" ht="15.75" customHeight="1" spans="7:7">
      <c r="G588" s="33"/>
    </row>
    <row r="589" ht="15.75" customHeight="1" spans="7:7">
      <c r="G589" s="33"/>
    </row>
    <row r="590" ht="15.75" customHeight="1" spans="7:7">
      <c r="G590" s="33"/>
    </row>
    <row r="591" ht="15.75" customHeight="1" spans="7:7">
      <c r="G591" s="33"/>
    </row>
    <row r="592" ht="15.75" customHeight="1" spans="7:7">
      <c r="G592" s="33"/>
    </row>
    <row r="593" ht="15.75" customHeight="1" spans="7:7">
      <c r="G593" s="33"/>
    </row>
    <row r="594" ht="15.75" customHeight="1" spans="7:7">
      <c r="G594" s="33"/>
    </row>
    <row r="595" ht="15.75" customHeight="1" spans="7:7">
      <c r="G595" s="33"/>
    </row>
    <row r="596" ht="15.75" customHeight="1" spans="7:7">
      <c r="G596" s="33"/>
    </row>
    <row r="597" ht="15.75" customHeight="1" spans="7:7">
      <c r="G597" s="33"/>
    </row>
    <row r="598" ht="15.75" customHeight="1" spans="7:7">
      <c r="G598" s="33"/>
    </row>
    <row r="599" ht="15.75" customHeight="1" spans="7:7">
      <c r="G599" s="33"/>
    </row>
    <row r="600" ht="15.75" customHeight="1" spans="7:7">
      <c r="G600" s="33"/>
    </row>
    <row r="601" ht="15.75" customHeight="1" spans="7:7">
      <c r="G601" s="33"/>
    </row>
    <row r="602" ht="15.75" customHeight="1" spans="7:7">
      <c r="G602" s="33"/>
    </row>
    <row r="603" ht="15.75" customHeight="1" spans="7:7">
      <c r="G603" s="33"/>
    </row>
    <row r="604" ht="15.75" customHeight="1" spans="7:7">
      <c r="G604" s="33"/>
    </row>
    <row r="605" ht="15.75" customHeight="1" spans="7:7">
      <c r="G605" s="33"/>
    </row>
    <row r="606" ht="15.75" customHeight="1" spans="7:7">
      <c r="G606" s="33"/>
    </row>
    <row r="607" ht="15.75" customHeight="1" spans="7:7">
      <c r="G607" s="33"/>
    </row>
    <row r="608" ht="15.75" customHeight="1" spans="7:7">
      <c r="G608" s="33"/>
    </row>
    <row r="609" ht="15.75" customHeight="1" spans="7:7">
      <c r="G609" s="33"/>
    </row>
    <row r="610" ht="15.75" customHeight="1" spans="7:7">
      <c r="G610" s="33"/>
    </row>
    <row r="611" ht="15.75" customHeight="1" spans="7:7">
      <c r="G611" s="33"/>
    </row>
    <row r="612" ht="15.75" customHeight="1" spans="7:7">
      <c r="G612" s="33"/>
    </row>
    <row r="613" ht="15.75" customHeight="1" spans="7:7">
      <c r="G613" s="33"/>
    </row>
    <row r="614" ht="15.75" customHeight="1" spans="7:7">
      <c r="G614" s="33"/>
    </row>
    <row r="615" ht="15.75" customHeight="1" spans="7:7">
      <c r="G615" s="33"/>
    </row>
    <row r="616" ht="15.75" customHeight="1" spans="7:7">
      <c r="G616" s="33"/>
    </row>
    <row r="617" ht="15.75" customHeight="1" spans="7:7">
      <c r="G617" s="33"/>
    </row>
    <row r="618" ht="15.75" customHeight="1" spans="7:7">
      <c r="G618" s="33"/>
    </row>
    <row r="619" ht="15.75" customHeight="1" spans="7:7">
      <c r="G619" s="33"/>
    </row>
    <row r="620" ht="15.75" customHeight="1" spans="7:7">
      <c r="G620" s="33"/>
    </row>
    <row r="621" ht="15.75" customHeight="1" spans="7:7">
      <c r="G621" s="33"/>
    </row>
    <row r="622" ht="15.75" customHeight="1" spans="7:7">
      <c r="G622" s="33"/>
    </row>
    <row r="623" ht="15.75" customHeight="1" spans="7:7">
      <c r="G623" s="33"/>
    </row>
    <row r="624" ht="15.75" customHeight="1" spans="7:7">
      <c r="G624" s="33"/>
    </row>
    <row r="625" ht="15.75" customHeight="1" spans="7:7">
      <c r="G625" s="33"/>
    </row>
    <row r="626" ht="15.75" customHeight="1" spans="7:7">
      <c r="G626" s="33"/>
    </row>
    <row r="627" ht="15.75" customHeight="1" spans="7:7">
      <c r="G627" s="33"/>
    </row>
    <row r="628" ht="15.75" customHeight="1" spans="7:7">
      <c r="G628" s="33"/>
    </row>
    <row r="629" ht="15.75" customHeight="1" spans="7:7">
      <c r="G629" s="33"/>
    </row>
    <row r="630" ht="15.75" customHeight="1" spans="7:7">
      <c r="G630" s="33"/>
    </row>
    <row r="631" ht="15.75" customHeight="1" spans="7:7">
      <c r="G631" s="33"/>
    </row>
    <row r="632" ht="15.75" customHeight="1" spans="7:7">
      <c r="G632" s="33"/>
    </row>
    <row r="633" ht="15.75" customHeight="1" spans="7:7">
      <c r="G633" s="33"/>
    </row>
    <row r="634" ht="15.75" customHeight="1" spans="7:7">
      <c r="G634" s="33"/>
    </row>
    <row r="635" ht="15.75" customHeight="1" spans="7:7">
      <c r="G635" s="33"/>
    </row>
    <row r="636" ht="15.75" customHeight="1" spans="7:7">
      <c r="G636" s="33"/>
    </row>
    <row r="637" ht="15.75" customHeight="1" spans="7:7">
      <c r="G637" s="33"/>
    </row>
    <row r="638" ht="15.75" customHeight="1" spans="7:7">
      <c r="G638" s="33"/>
    </row>
    <row r="639" ht="15.75" customHeight="1" spans="7:7">
      <c r="G639" s="33"/>
    </row>
    <row r="640" ht="15.75" customHeight="1" spans="7:7">
      <c r="G640" s="33"/>
    </row>
    <row r="641" ht="15.75" customHeight="1" spans="7:7">
      <c r="G641" s="33"/>
    </row>
    <row r="642" ht="15.75" customHeight="1" spans="7:7">
      <c r="G642" s="33"/>
    </row>
    <row r="643" ht="15.75" customHeight="1" spans="7:7">
      <c r="G643" s="33"/>
    </row>
    <row r="644" ht="15.75" customHeight="1" spans="7:7">
      <c r="G644" s="33"/>
    </row>
    <row r="645" ht="15.75" customHeight="1" spans="7:7">
      <c r="G645" s="33"/>
    </row>
    <row r="646" ht="15.75" customHeight="1" spans="7:7">
      <c r="G646" s="33"/>
    </row>
    <row r="647" ht="15.75" customHeight="1" spans="7:7">
      <c r="G647" s="33"/>
    </row>
    <row r="648" ht="15.75" customHeight="1" spans="7:7">
      <c r="G648" s="33"/>
    </row>
    <row r="649" ht="15.75" customHeight="1" spans="7:7">
      <c r="G649" s="33"/>
    </row>
    <row r="650" ht="15.75" customHeight="1" spans="7:7">
      <c r="G650" s="33"/>
    </row>
    <row r="651" ht="15.75" customHeight="1" spans="7:7">
      <c r="G651" s="33"/>
    </row>
    <row r="652" ht="15.75" customHeight="1" spans="7:7">
      <c r="G652" s="33"/>
    </row>
    <row r="653" ht="15.75" customHeight="1" spans="7:7">
      <c r="G653" s="33"/>
    </row>
    <row r="654" ht="15.75" customHeight="1" spans="7:7">
      <c r="G654" s="33"/>
    </row>
    <row r="655" ht="15.75" customHeight="1" spans="7:7">
      <c r="G655" s="33"/>
    </row>
    <row r="656" ht="15.75" customHeight="1" spans="7:7">
      <c r="G656" s="33"/>
    </row>
    <row r="657" ht="15.75" customHeight="1" spans="7:7">
      <c r="G657" s="33"/>
    </row>
    <row r="658" ht="15.75" customHeight="1" spans="7:7">
      <c r="G658" s="33"/>
    </row>
    <row r="659" ht="15.75" customHeight="1" spans="7:7">
      <c r="G659" s="33"/>
    </row>
    <row r="660" ht="15.75" customHeight="1" spans="7:7">
      <c r="G660" s="33"/>
    </row>
    <row r="661" ht="15.75" customHeight="1" spans="7:7">
      <c r="G661" s="33"/>
    </row>
    <row r="662" ht="15.75" customHeight="1" spans="7:7">
      <c r="G662" s="33"/>
    </row>
    <row r="663" ht="15.75" customHeight="1" spans="7:7">
      <c r="G663" s="33"/>
    </row>
    <row r="664" ht="15.75" customHeight="1" spans="7:7">
      <c r="G664" s="33"/>
    </row>
    <row r="665" ht="15.75" customHeight="1" spans="7:7">
      <c r="G665" s="33"/>
    </row>
    <row r="666" ht="15.75" customHeight="1" spans="7:7">
      <c r="G666" s="33"/>
    </row>
    <row r="667" ht="15.75" customHeight="1" spans="7:7">
      <c r="G667" s="33"/>
    </row>
    <row r="668" ht="15.75" customHeight="1" spans="7:7">
      <c r="G668" s="33"/>
    </row>
    <row r="669" ht="15.75" customHeight="1" spans="7:7">
      <c r="G669" s="33"/>
    </row>
    <row r="670" ht="15.75" customHeight="1" spans="7:7">
      <c r="G670" s="33"/>
    </row>
    <row r="671" ht="15.75" customHeight="1" spans="7:7">
      <c r="G671" s="33"/>
    </row>
    <row r="672" ht="15.75" customHeight="1" spans="7:7">
      <c r="G672" s="33"/>
    </row>
    <row r="673" ht="15.75" customHeight="1" spans="7:7">
      <c r="G673" s="33"/>
    </row>
    <row r="674" ht="15.75" customHeight="1" spans="7:7">
      <c r="G674" s="33"/>
    </row>
    <row r="675" ht="15.75" customHeight="1" spans="7:7">
      <c r="G675" s="33"/>
    </row>
    <row r="676" ht="15.75" customHeight="1" spans="7:7">
      <c r="G676" s="33"/>
    </row>
    <row r="677" ht="15.75" customHeight="1" spans="7:7">
      <c r="G677" s="33"/>
    </row>
    <row r="678" ht="15.75" customHeight="1" spans="7:7">
      <c r="G678" s="33"/>
    </row>
    <row r="679" ht="15.75" customHeight="1" spans="7:7">
      <c r="G679" s="33"/>
    </row>
    <row r="680" ht="15.75" customHeight="1" spans="7:7">
      <c r="G680" s="33"/>
    </row>
    <row r="681" ht="15.75" customHeight="1" spans="7:7">
      <c r="G681" s="33"/>
    </row>
    <row r="682" ht="15.75" customHeight="1" spans="7:7">
      <c r="G682" s="33"/>
    </row>
    <row r="683" ht="15.75" customHeight="1" spans="7:7">
      <c r="G683" s="33"/>
    </row>
    <row r="684" ht="15.75" customHeight="1" spans="7:7">
      <c r="G684" s="33"/>
    </row>
    <row r="685" ht="15.75" customHeight="1" spans="7:7">
      <c r="G685" s="33"/>
    </row>
    <row r="686" ht="15.75" customHeight="1" spans="7:7">
      <c r="G686" s="33"/>
    </row>
    <row r="687" ht="15.75" customHeight="1" spans="7:7">
      <c r="G687" s="33"/>
    </row>
    <row r="688" ht="15.75" customHeight="1" spans="7:7">
      <c r="G688" s="33"/>
    </row>
    <row r="689" ht="15.75" customHeight="1" spans="7:7">
      <c r="G689" s="33"/>
    </row>
    <row r="690" ht="15.75" customHeight="1" spans="7:7">
      <c r="G690" s="33"/>
    </row>
    <row r="691" ht="15.75" customHeight="1" spans="7:7">
      <c r="G691" s="33"/>
    </row>
    <row r="692" ht="15.75" customHeight="1" spans="7:7">
      <c r="G692" s="33"/>
    </row>
    <row r="693" ht="15.75" customHeight="1" spans="7:7">
      <c r="G693" s="33"/>
    </row>
    <row r="694" ht="15.75" customHeight="1" spans="7:7">
      <c r="G694" s="33"/>
    </row>
    <row r="695" ht="15.75" customHeight="1" spans="7:7">
      <c r="G695" s="33"/>
    </row>
    <row r="696" ht="15.75" customHeight="1" spans="7:7">
      <c r="G696" s="33"/>
    </row>
    <row r="697" ht="15.75" customHeight="1" spans="7:7">
      <c r="G697" s="33"/>
    </row>
    <row r="698" ht="15.75" customHeight="1" spans="7:7">
      <c r="G698" s="33"/>
    </row>
    <row r="699" ht="15.75" customHeight="1" spans="7:7">
      <c r="G699" s="33"/>
    </row>
    <row r="700" ht="15.75" customHeight="1" spans="7:7">
      <c r="G700" s="33"/>
    </row>
    <row r="701" ht="15.75" customHeight="1" spans="7:7">
      <c r="G701" s="33"/>
    </row>
    <row r="702" ht="15.75" customHeight="1" spans="7:7">
      <c r="G702" s="33"/>
    </row>
    <row r="703" ht="15.75" customHeight="1" spans="7:7">
      <c r="G703" s="33"/>
    </row>
    <row r="704" ht="15.75" customHeight="1" spans="7:7">
      <c r="G704" s="33"/>
    </row>
    <row r="705" ht="15.75" customHeight="1" spans="7:7">
      <c r="G705" s="33"/>
    </row>
    <row r="706" ht="15.75" customHeight="1" spans="7:7">
      <c r="G706" s="33"/>
    </row>
    <row r="707" ht="15.75" customHeight="1" spans="7:7">
      <c r="G707" s="33"/>
    </row>
    <row r="708" ht="15.75" customHeight="1" spans="7:7">
      <c r="G708" s="33"/>
    </row>
    <row r="709" ht="15.75" customHeight="1" spans="7:7">
      <c r="G709" s="33"/>
    </row>
    <row r="710" ht="15.75" customHeight="1" spans="7:7">
      <c r="G710" s="33"/>
    </row>
    <row r="711" ht="15.75" customHeight="1" spans="7:7">
      <c r="G711" s="33"/>
    </row>
    <row r="712" ht="15.75" customHeight="1" spans="7:7">
      <c r="G712" s="33"/>
    </row>
    <row r="713" ht="15.75" customHeight="1" spans="7:7">
      <c r="G713" s="33"/>
    </row>
    <row r="714" ht="15.75" customHeight="1" spans="7:7">
      <c r="G714" s="33"/>
    </row>
    <row r="715" ht="15.75" customHeight="1" spans="7:7">
      <c r="G715" s="33"/>
    </row>
    <row r="716" ht="15.75" customHeight="1" spans="7:7">
      <c r="G716" s="33"/>
    </row>
    <row r="717" ht="15.75" customHeight="1" spans="7:7">
      <c r="G717" s="33"/>
    </row>
    <row r="718" ht="15.75" customHeight="1" spans="7:7">
      <c r="G718" s="33"/>
    </row>
    <row r="719" ht="15.75" customHeight="1" spans="7:7">
      <c r="G719" s="33"/>
    </row>
    <row r="720" ht="15.75" customHeight="1" spans="7:7">
      <c r="G720" s="33"/>
    </row>
    <row r="721" ht="15.75" customHeight="1" spans="7:7">
      <c r="G721" s="33"/>
    </row>
    <row r="722" ht="15.75" customHeight="1" spans="7:7">
      <c r="G722" s="33"/>
    </row>
    <row r="723" ht="15.75" customHeight="1" spans="7:7">
      <c r="G723" s="33"/>
    </row>
    <row r="724" ht="15.75" customHeight="1" spans="7:7">
      <c r="G724" s="33"/>
    </row>
    <row r="725" ht="15.75" customHeight="1" spans="7:7">
      <c r="G725" s="33"/>
    </row>
    <row r="726" ht="15.75" customHeight="1" spans="7:7">
      <c r="G726" s="33"/>
    </row>
    <row r="727" ht="15.75" customHeight="1" spans="7:7">
      <c r="G727" s="33"/>
    </row>
    <row r="728" ht="15.75" customHeight="1" spans="7:7">
      <c r="G728" s="33"/>
    </row>
    <row r="729" ht="15.75" customHeight="1" spans="7:7">
      <c r="G729" s="33"/>
    </row>
    <row r="730" ht="15.75" customHeight="1" spans="7:7">
      <c r="G730" s="33"/>
    </row>
    <row r="731" ht="15.75" customHeight="1" spans="7:7">
      <c r="G731" s="33"/>
    </row>
    <row r="732" ht="15.75" customHeight="1" spans="7:7">
      <c r="G732" s="33"/>
    </row>
    <row r="733" ht="15.75" customHeight="1" spans="7:7">
      <c r="G733" s="33"/>
    </row>
    <row r="734" ht="15.75" customHeight="1" spans="7:7">
      <c r="G734" s="33"/>
    </row>
    <row r="735" ht="15.75" customHeight="1" spans="7:7">
      <c r="G735" s="33"/>
    </row>
    <row r="736" ht="15.75" customHeight="1" spans="7:7">
      <c r="G736" s="33"/>
    </row>
    <row r="737" ht="15.75" customHeight="1" spans="7:7">
      <c r="G737" s="33"/>
    </row>
    <row r="738" ht="15.75" customHeight="1" spans="7:7">
      <c r="G738" s="33"/>
    </row>
    <row r="739" ht="15.75" customHeight="1" spans="7:7">
      <c r="G739" s="33"/>
    </row>
    <row r="740" ht="15.75" customHeight="1" spans="7:7">
      <c r="G740" s="33"/>
    </row>
    <row r="741" ht="15.75" customHeight="1" spans="7:7">
      <c r="G741" s="33"/>
    </row>
    <row r="742" ht="15.75" customHeight="1" spans="7:7">
      <c r="G742" s="33"/>
    </row>
    <row r="743" ht="15.75" customHeight="1" spans="7:7">
      <c r="G743" s="33"/>
    </row>
    <row r="744" ht="15.75" customHeight="1" spans="7:7">
      <c r="G744" s="33"/>
    </row>
    <row r="745" ht="15.75" customHeight="1" spans="7:7">
      <c r="G745" s="33"/>
    </row>
    <row r="746" ht="15.75" customHeight="1" spans="7:7">
      <c r="G746" s="33"/>
    </row>
    <row r="747" ht="15.75" customHeight="1" spans="7:7">
      <c r="G747" s="33"/>
    </row>
    <row r="748" ht="15.75" customHeight="1" spans="7:7">
      <c r="G748" s="33"/>
    </row>
    <row r="749" ht="15.75" customHeight="1" spans="7:7">
      <c r="G749" s="33"/>
    </row>
    <row r="750" ht="15.75" customHeight="1" spans="7:7">
      <c r="G750" s="33"/>
    </row>
    <row r="751" ht="15.75" customHeight="1" spans="7:7">
      <c r="G751" s="33"/>
    </row>
    <row r="752" ht="15.75" customHeight="1" spans="7:7">
      <c r="G752" s="33"/>
    </row>
    <row r="753" ht="15.75" customHeight="1" spans="7:7">
      <c r="G753" s="33"/>
    </row>
    <row r="754" ht="15.75" customHeight="1" spans="7:7">
      <c r="G754" s="33"/>
    </row>
    <row r="755" ht="15.75" customHeight="1" spans="7:7">
      <c r="G755" s="33"/>
    </row>
    <row r="756" ht="15.75" customHeight="1" spans="7:7">
      <c r="G756" s="33"/>
    </row>
    <row r="757" ht="15.75" customHeight="1" spans="7:7">
      <c r="G757" s="33"/>
    </row>
    <row r="758" ht="15.75" customHeight="1" spans="7:7">
      <c r="G758" s="33"/>
    </row>
    <row r="759" ht="15.75" customHeight="1" spans="7:7">
      <c r="G759" s="33"/>
    </row>
    <row r="760" ht="15.75" customHeight="1" spans="7:7">
      <c r="G760" s="33"/>
    </row>
    <row r="761" ht="15.75" customHeight="1" spans="7:7">
      <c r="G761" s="33"/>
    </row>
    <row r="762" ht="15.75" customHeight="1" spans="7:7">
      <c r="G762" s="33"/>
    </row>
    <row r="763" ht="15.75" customHeight="1" spans="7:7">
      <c r="G763" s="33"/>
    </row>
    <row r="764" ht="15.75" customHeight="1" spans="7:7">
      <c r="G764" s="33"/>
    </row>
    <row r="765" ht="15.75" customHeight="1" spans="7:7">
      <c r="G765" s="33"/>
    </row>
    <row r="766" ht="15.75" customHeight="1" spans="7:7">
      <c r="G766" s="33"/>
    </row>
    <row r="767" ht="15.75" customHeight="1" spans="7:7">
      <c r="G767" s="33"/>
    </row>
    <row r="768" ht="15.75" customHeight="1" spans="7:7">
      <c r="G768" s="33"/>
    </row>
    <row r="769" ht="15.75" customHeight="1" spans="7:7">
      <c r="G769" s="33"/>
    </row>
    <row r="770" ht="15.75" customHeight="1" spans="7:7">
      <c r="G770" s="33"/>
    </row>
    <row r="771" ht="15.75" customHeight="1" spans="7:7">
      <c r="G771" s="33"/>
    </row>
    <row r="772" ht="15.75" customHeight="1" spans="7:7">
      <c r="G772" s="33"/>
    </row>
    <row r="773" ht="15.75" customHeight="1" spans="7:7">
      <c r="G773" s="33"/>
    </row>
    <row r="774" ht="15.75" customHeight="1" spans="7:7">
      <c r="G774" s="33"/>
    </row>
    <row r="775" ht="15.75" customHeight="1" spans="7:7">
      <c r="G775" s="33"/>
    </row>
    <row r="776" ht="15.75" customHeight="1" spans="7:7">
      <c r="G776" s="33"/>
    </row>
    <row r="777" ht="15.75" customHeight="1" spans="7:7">
      <c r="G777" s="33"/>
    </row>
    <row r="778" ht="15.75" customHeight="1" spans="7:7">
      <c r="G778" s="33"/>
    </row>
    <row r="779" ht="15.75" customHeight="1" spans="7:7">
      <c r="G779" s="33"/>
    </row>
    <row r="780" ht="15.75" customHeight="1" spans="7:7">
      <c r="G780" s="33"/>
    </row>
    <row r="781" ht="15.75" customHeight="1" spans="7:7">
      <c r="G781" s="33"/>
    </row>
    <row r="782" ht="15.75" customHeight="1" spans="7:7">
      <c r="G782" s="33"/>
    </row>
    <row r="783" ht="15.75" customHeight="1" spans="7:7">
      <c r="G783" s="33"/>
    </row>
    <row r="784" ht="15.75" customHeight="1" spans="7:7">
      <c r="G784" s="33"/>
    </row>
    <row r="785" ht="15.75" customHeight="1" spans="7:7">
      <c r="G785" s="33"/>
    </row>
    <row r="786" ht="15.75" customHeight="1" spans="7:7">
      <c r="G786" s="33"/>
    </row>
    <row r="787" ht="15.75" customHeight="1" spans="7:7">
      <c r="G787" s="33"/>
    </row>
    <row r="788" ht="15.75" customHeight="1" spans="7:7">
      <c r="G788" s="33"/>
    </row>
    <row r="789" ht="15.75" customHeight="1" spans="7:7">
      <c r="G789" s="33"/>
    </row>
    <row r="790" ht="15.75" customHeight="1" spans="7:7">
      <c r="G790" s="33"/>
    </row>
    <row r="791" ht="15.75" customHeight="1" spans="7:7">
      <c r="G791" s="33"/>
    </row>
    <row r="792" ht="15.75" customHeight="1" spans="7:7">
      <c r="G792" s="33"/>
    </row>
    <row r="793" ht="15.75" customHeight="1" spans="7:7">
      <c r="G793" s="33"/>
    </row>
    <row r="794" ht="15.75" customHeight="1" spans="7:7">
      <c r="G794" s="33"/>
    </row>
    <row r="795" ht="15.75" customHeight="1" spans="7:7">
      <c r="G795" s="33"/>
    </row>
    <row r="796" ht="15.75" customHeight="1" spans="7:7">
      <c r="G796" s="33"/>
    </row>
    <row r="797" ht="15.75" customHeight="1" spans="7:7">
      <c r="G797" s="33"/>
    </row>
    <row r="798" ht="15.75" customHeight="1" spans="7:7">
      <c r="G798" s="33"/>
    </row>
    <row r="799" ht="15.75" customHeight="1" spans="7:7">
      <c r="G799" s="33"/>
    </row>
    <row r="800" ht="15.75" customHeight="1" spans="7:7">
      <c r="G800" s="33"/>
    </row>
    <row r="801" ht="15.75" customHeight="1" spans="7:7">
      <c r="G801" s="33"/>
    </row>
    <row r="802" ht="15.75" customHeight="1" spans="7:7">
      <c r="G802" s="33"/>
    </row>
    <row r="803" ht="15.75" customHeight="1" spans="7:7">
      <c r="G803" s="33"/>
    </row>
    <row r="804" ht="15.75" customHeight="1" spans="7:7">
      <c r="G804" s="33"/>
    </row>
    <row r="805" ht="15.75" customHeight="1" spans="7:7">
      <c r="G805" s="33"/>
    </row>
    <row r="806" ht="15.75" customHeight="1" spans="7:7">
      <c r="G806" s="33"/>
    </row>
    <row r="807" ht="15.75" customHeight="1" spans="7:7">
      <c r="G807" s="33"/>
    </row>
    <row r="808" ht="15.75" customHeight="1" spans="7:7">
      <c r="G808" s="33"/>
    </row>
    <row r="809" ht="15.75" customHeight="1" spans="7:7">
      <c r="G809" s="33"/>
    </row>
    <row r="810" ht="15.75" customHeight="1" spans="7:7">
      <c r="G810" s="33"/>
    </row>
    <row r="811" ht="15.75" customHeight="1" spans="7:7">
      <c r="G811" s="33"/>
    </row>
    <row r="812" ht="15.75" customHeight="1" spans="7:7">
      <c r="G812" s="33"/>
    </row>
    <row r="813" ht="15.75" customHeight="1" spans="7:7">
      <c r="G813" s="33"/>
    </row>
    <row r="814" ht="15.75" customHeight="1" spans="7:7">
      <c r="G814" s="33"/>
    </row>
    <row r="815" ht="15.75" customHeight="1" spans="7:7">
      <c r="G815" s="33"/>
    </row>
    <row r="816" ht="15.75" customHeight="1" spans="7:7">
      <c r="G816" s="33"/>
    </row>
    <row r="817" ht="15.75" customHeight="1" spans="7:7">
      <c r="G817" s="33"/>
    </row>
    <row r="818" ht="15.75" customHeight="1" spans="7:7">
      <c r="G818" s="33"/>
    </row>
    <row r="819" ht="15.75" customHeight="1" spans="7:7">
      <c r="G819" s="33"/>
    </row>
    <row r="820" ht="15.75" customHeight="1" spans="7:7">
      <c r="G820" s="33"/>
    </row>
    <row r="821" ht="15.75" customHeight="1" spans="7:7">
      <c r="G821" s="33"/>
    </row>
    <row r="822" ht="15.75" customHeight="1" spans="7:7">
      <c r="G822" s="33"/>
    </row>
    <row r="823" ht="15.75" customHeight="1" spans="7:7">
      <c r="G823" s="33"/>
    </row>
    <row r="824" ht="15.75" customHeight="1" spans="7:7">
      <c r="G824" s="33"/>
    </row>
    <row r="825" ht="15.75" customHeight="1" spans="7:7">
      <c r="G825" s="33"/>
    </row>
    <row r="826" ht="15.75" customHeight="1" spans="7:7">
      <c r="G826" s="33"/>
    </row>
    <row r="827" ht="15.75" customHeight="1" spans="7:7">
      <c r="G827" s="33"/>
    </row>
    <row r="828" ht="15.75" customHeight="1" spans="7:7">
      <c r="G828" s="33"/>
    </row>
    <row r="829" ht="15.75" customHeight="1" spans="7:7">
      <c r="G829" s="33"/>
    </row>
    <row r="830" ht="15.75" customHeight="1" spans="7:7">
      <c r="G830" s="33"/>
    </row>
    <row r="831" ht="15.75" customHeight="1" spans="7:7">
      <c r="G831" s="33"/>
    </row>
    <row r="832" ht="15.75" customHeight="1" spans="7:7">
      <c r="G832" s="33"/>
    </row>
    <row r="833" ht="15.75" customHeight="1" spans="7:7">
      <c r="G833" s="33"/>
    </row>
    <row r="834" ht="15.75" customHeight="1" spans="7:7">
      <c r="G834" s="33"/>
    </row>
    <row r="835" ht="15.75" customHeight="1" spans="7:7">
      <c r="G835" s="33"/>
    </row>
    <row r="836" ht="15.75" customHeight="1" spans="7:7">
      <c r="G836" s="33"/>
    </row>
    <row r="837" ht="15.75" customHeight="1" spans="7:7">
      <c r="G837" s="33"/>
    </row>
    <row r="838" ht="15.75" customHeight="1" spans="7:7">
      <c r="G838" s="33"/>
    </row>
    <row r="839" ht="15.75" customHeight="1" spans="7:7">
      <c r="G839" s="33"/>
    </row>
    <row r="840" ht="15.75" customHeight="1" spans="7:7">
      <c r="G840" s="33"/>
    </row>
    <row r="841" ht="15.75" customHeight="1" spans="7:7">
      <c r="G841" s="33"/>
    </row>
    <row r="842" ht="15.75" customHeight="1" spans="7:7">
      <c r="G842" s="33"/>
    </row>
    <row r="843" ht="15.75" customHeight="1" spans="7:7">
      <c r="G843" s="33"/>
    </row>
    <row r="844" ht="15.75" customHeight="1" spans="7:7">
      <c r="G844" s="33"/>
    </row>
    <row r="845" ht="15.75" customHeight="1" spans="7:7">
      <c r="G845" s="33"/>
    </row>
    <row r="846" ht="15.75" customHeight="1" spans="7:7">
      <c r="G846" s="33"/>
    </row>
    <row r="847" ht="15.75" customHeight="1" spans="7:7">
      <c r="G847" s="33"/>
    </row>
    <row r="848" ht="15.75" customHeight="1" spans="7:7">
      <c r="G848" s="33"/>
    </row>
    <row r="849" ht="15.75" customHeight="1" spans="7:7">
      <c r="G849" s="33"/>
    </row>
    <row r="850" ht="15.75" customHeight="1" spans="7:7">
      <c r="G850" s="33"/>
    </row>
    <row r="851" ht="15.75" customHeight="1" spans="7:7">
      <c r="G851" s="33"/>
    </row>
    <row r="852" ht="15.75" customHeight="1" spans="7:7">
      <c r="G852" s="33"/>
    </row>
    <row r="853" ht="15.75" customHeight="1" spans="7:7">
      <c r="G853" s="33"/>
    </row>
    <row r="854" ht="15.75" customHeight="1" spans="7:7">
      <c r="G854" s="33"/>
    </row>
    <row r="855" ht="15.75" customHeight="1" spans="7:7">
      <c r="G855" s="33"/>
    </row>
    <row r="856" ht="15.75" customHeight="1" spans="7:7">
      <c r="G856" s="33"/>
    </row>
    <row r="857" ht="15.75" customHeight="1" spans="7:7">
      <c r="G857" s="33"/>
    </row>
    <row r="858" ht="15.75" customHeight="1" spans="7:7">
      <c r="G858" s="33"/>
    </row>
    <row r="859" ht="15.75" customHeight="1" spans="7:7">
      <c r="G859" s="33"/>
    </row>
    <row r="860" ht="15.75" customHeight="1" spans="7:7">
      <c r="G860" s="33"/>
    </row>
    <row r="861" ht="15.75" customHeight="1" spans="7:7">
      <c r="G861" s="33"/>
    </row>
    <row r="862" ht="15.75" customHeight="1" spans="7:7">
      <c r="G862" s="33"/>
    </row>
    <row r="863" ht="15.75" customHeight="1" spans="7:7">
      <c r="G863" s="33"/>
    </row>
    <row r="864" ht="15.75" customHeight="1" spans="7:7">
      <c r="G864" s="33"/>
    </row>
    <row r="865" ht="15.75" customHeight="1" spans="7:7">
      <c r="G865" s="33"/>
    </row>
    <row r="866" ht="15.75" customHeight="1" spans="7:7">
      <c r="G866" s="33"/>
    </row>
    <row r="867" ht="15.75" customHeight="1" spans="7:7">
      <c r="G867" s="33"/>
    </row>
    <row r="868" ht="15.75" customHeight="1" spans="7:7">
      <c r="G868" s="33"/>
    </row>
    <row r="869" ht="15.75" customHeight="1" spans="7:7">
      <c r="G869" s="33"/>
    </row>
    <row r="870" ht="15.75" customHeight="1" spans="7:7">
      <c r="G870" s="33"/>
    </row>
    <row r="871" ht="15.75" customHeight="1" spans="7:7">
      <c r="G871" s="33"/>
    </row>
    <row r="872" ht="15.75" customHeight="1" spans="7:7">
      <c r="G872" s="33"/>
    </row>
    <row r="873" ht="15.75" customHeight="1" spans="7:7">
      <c r="G873" s="33"/>
    </row>
    <row r="874" ht="15.75" customHeight="1" spans="7:7">
      <c r="G874" s="33"/>
    </row>
    <row r="875" ht="15.75" customHeight="1" spans="7:7">
      <c r="G875" s="33"/>
    </row>
    <row r="876" ht="15.75" customHeight="1" spans="7:7">
      <c r="G876" s="33"/>
    </row>
    <row r="877" ht="15.75" customHeight="1" spans="7:7">
      <c r="G877" s="33"/>
    </row>
    <row r="878" ht="15.75" customHeight="1" spans="7:7">
      <c r="G878" s="33"/>
    </row>
    <row r="879" ht="15.75" customHeight="1" spans="7:7">
      <c r="G879" s="33"/>
    </row>
    <row r="880" ht="15.75" customHeight="1" spans="7:7">
      <c r="G880" s="33"/>
    </row>
    <row r="881" ht="15.75" customHeight="1" spans="7:7">
      <c r="G881" s="33"/>
    </row>
    <row r="882" ht="15.75" customHeight="1" spans="7:7">
      <c r="G882" s="33"/>
    </row>
    <row r="883" ht="15.75" customHeight="1" spans="7:7">
      <c r="G883" s="33"/>
    </row>
    <row r="884" ht="15.75" customHeight="1" spans="7:7">
      <c r="G884" s="33"/>
    </row>
    <row r="885" ht="15.75" customHeight="1" spans="7:7">
      <c r="G885" s="33"/>
    </row>
    <row r="886" ht="15.75" customHeight="1" spans="7:7">
      <c r="G886" s="33"/>
    </row>
    <row r="887" ht="15.75" customHeight="1" spans="7:7">
      <c r="G887" s="33"/>
    </row>
    <row r="888" ht="15.75" customHeight="1" spans="7:7">
      <c r="G888" s="33"/>
    </row>
    <row r="889" ht="15.75" customHeight="1" spans="7:7">
      <c r="G889" s="33"/>
    </row>
    <row r="890" ht="15.75" customHeight="1" spans="7:7">
      <c r="G890" s="33"/>
    </row>
    <row r="891" ht="15.75" customHeight="1" spans="7:7">
      <c r="G891" s="33"/>
    </row>
    <row r="892" ht="15.75" customHeight="1" spans="7:7">
      <c r="G892" s="33"/>
    </row>
    <row r="893" ht="15.75" customHeight="1" spans="7:7">
      <c r="G893" s="33"/>
    </row>
    <row r="894" ht="15.75" customHeight="1" spans="7:7">
      <c r="G894" s="33"/>
    </row>
    <row r="895" ht="15.75" customHeight="1" spans="7:7">
      <c r="G895" s="33"/>
    </row>
    <row r="896" ht="15.75" customHeight="1" spans="7:7">
      <c r="G896" s="33"/>
    </row>
    <row r="897" ht="15.75" customHeight="1" spans="7:7">
      <c r="G897" s="33"/>
    </row>
    <row r="898" ht="15.75" customHeight="1" spans="7:7">
      <c r="G898" s="33"/>
    </row>
    <row r="899" ht="15.75" customHeight="1" spans="7:7">
      <c r="G899" s="33"/>
    </row>
    <row r="900" ht="15.75" customHeight="1" spans="7:7">
      <c r="G900" s="33"/>
    </row>
    <row r="901" ht="15.75" customHeight="1" spans="7:7">
      <c r="G901" s="33"/>
    </row>
    <row r="902" ht="15.75" customHeight="1" spans="7:7">
      <c r="G902" s="33"/>
    </row>
    <row r="903" ht="15.75" customHeight="1" spans="7:7">
      <c r="G903" s="33"/>
    </row>
    <row r="904" ht="15.75" customHeight="1" spans="7:7">
      <c r="G904" s="33"/>
    </row>
    <row r="905" ht="15.75" customHeight="1" spans="7:7">
      <c r="G905" s="33"/>
    </row>
    <row r="906" ht="15.75" customHeight="1" spans="7:7">
      <c r="G906" s="33"/>
    </row>
    <row r="907" ht="15.75" customHeight="1" spans="7:7">
      <c r="G907" s="33"/>
    </row>
    <row r="908" ht="15.75" customHeight="1" spans="7:7">
      <c r="G908" s="33"/>
    </row>
    <row r="909" ht="15.75" customHeight="1" spans="7:7">
      <c r="G909" s="33"/>
    </row>
    <row r="910" ht="15.75" customHeight="1" spans="7:7">
      <c r="G910" s="33"/>
    </row>
    <row r="911" ht="15.75" customHeight="1" spans="7:7">
      <c r="G911" s="33"/>
    </row>
    <row r="912" ht="15.75" customHeight="1" spans="7:7">
      <c r="G912" s="33"/>
    </row>
    <row r="913" ht="15.75" customHeight="1" spans="7:7">
      <c r="G913" s="33"/>
    </row>
    <row r="914" ht="15.75" customHeight="1" spans="7:7">
      <c r="G914" s="33"/>
    </row>
    <row r="915" ht="15.75" customHeight="1" spans="7:7">
      <c r="G915" s="33"/>
    </row>
    <row r="916" ht="15.75" customHeight="1" spans="7:7">
      <c r="G916" s="33"/>
    </row>
    <row r="917" ht="15.75" customHeight="1" spans="7:7">
      <c r="G917" s="33"/>
    </row>
    <row r="918" ht="15.75" customHeight="1" spans="7:7">
      <c r="G918" s="33"/>
    </row>
    <row r="919" ht="15.75" customHeight="1" spans="7:7">
      <c r="G919" s="33"/>
    </row>
    <row r="920" ht="15.75" customHeight="1" spans="7:7">
      <c r="G920" s="33"/>
    </row>
    <row r="921" ht="15.75" customHeight="1" spans="7:7">
      <c r="G921" s="33"/>
    </row>
    <row r="922" ht="15.75" customHeight="1" spans="7:7">
      <c r="G922" s="33"/>
    </row>
    <row r="923" ht="15.75" customHeight="1" spans="7:7">
      <c r="G923" s="33"/>
    </row>
    <row r="924" ht="15.75" customHeight="1" spans="7:7">
      <c r="G924" s="33"/>
    </row>
    <row r="925" ht="15.75" customHeight="1" spans="7:7">
      <c r="G925" s="33"/>
    </row>
    <row r="926" ht="15.75" customHeight="1" spans="7:7">
      <c r="G926" s="33"/>
    </row>
    <row r="927" ht="15.75" customHeight="1" spans="7:7">
      <c r="G927" s="33"/>
    </row>
    <row r="928" ht="15.75" customHeight="1" spans="7:7">
      <c r="G928" s="33"/>
    </row>
    <row r="929" ht="15.75" customHeight="1" spans="7:7">
      <c r="G929" s="33"/>
    </row>
    <row r="930" ht="15.75" customHeight="1" spans="7:7">
      <c r="G930" s="33"/>
    </row>
    <row r="931" ht="15.75" customHeight="1" spans="7:7">
      <c r="G931" s="33"/>
    </row>
    <row r="932" ht="15.75" customHeight="1" spans="7:7">
      <c r="G932" s="33"/>
    </row>
    <row r="933" ht="15.75" customHeight="1" spans="7:7">
      <c r="G933" s="33"/>
    </row>
    <row r="934" ht="15.75" customHeight="1" spans="7:7">
      <c r="G934" s="33"/>
    </row>
    <row r="935" ht="15.75" customHeight="1" spans="7:7">
      <c r="G935" s="33"/>
    </row>
    <row r="936" ht="15.75" customHeight="1" spans="7:7">
      <c r="G936" s="33"/>
    </row>
    <row r="937" ht="15.75" customHeight="1" spans="7:7">
      <c r="G937" s="33"/>
    </row>
    <row r="938" ht="15.75" customHeight="1" spans="7:7">
      <c r="G938" s="33"/>
    </row>
    <row r="939" ht="15.75" customHeight="1" spans="7:7">
      <c r="G939" s="33"/>
    </row>
    <row r="940" ht="15.75" customHeight="1" spans="7:7">
      <c r="G940" s="33"/>
    </row>
    <row r="941" ht="15.75" customHeight="1" spans="7:7">
      <c r="G941" s="33"/>
    </row>
    <row r="942" ht="15.75" customHeight="1" spans="7:7">
      <c r="G942" s="33"/>
    </row>
    <row r="943" ht="15.75" customHeight="1" spans="7:7">
      <c r="G943" s="33"/>
    </row>
    <row r="944" ht="15.75" customHeight="1" spans="7:7">
      <c r="G944" s="33"/>
    </row>
    <row r="945" ht="15.75" customHeight="1" spans="7:7">
      <c r="G945" s="33"/>
    </row>
    <row r="946" ht="15.75" customHeight="1" spans="7:7">
      <c r="G946" s="33"/>
    </row>
    <row r="947" ht="15.75" customHeight="1" spans="7:7">
      <c r="G947" s="33"/>
    </row>
    <row r="948" ht="15.75" customHeight="1" spans="7:7">
      <c r="G948" s="33"/>
    </row>
    <row r="949" ht="15.75" customHeight="1" spans="7:7">
      <c r="G949" s="33"/>
    </row>
    <row r="950" ht="15.75" customHeight="1" spans="7:7">
      <c r="G950" s="33"/>
    </row>
    <row r="951" ht="15.75" customHeight="1" spans="7:7">
      <c r="G951" s="33"/>
    </row>
    <row r="952" ht="15.75" customHeight="1" spans="7:7">
      <c r="G952" s="33"/>
    </row>
    <row r="953" ht="15.75" customHeight="1" spans="7:7">
      <c r="G953" s="33"/>
    </row>
    <row r="954" ht="15.75" customHeight="1" spans="7:7">
      <c r="G954" s="33"/>
    </row>
    <row r="955" ht="15.75" customHeight="1" spans="7:7">
      <c r="G955" s="33"/>
    </row>
    <row r="956" ht="15.75" customHeight="1" spans="7:7">
      <c r="G956" s="33"/>
    </row>
    <row r="957" ht="15.75" customHeight="1" spans="7:7">
      <c r="G957" s="33"/>
    </row>
    <row r="958" ht="15.75" customHeight="1" spans="7:7">
      <c r="G958" s="33"/>
    </row>
    <row r="959" ht="15.75" customHeight="1" spans="7:7">
      <c r="G959" s="33"/>
    </row>
    <row r="960" ht="15.75" customHeight="1" spans="7:7">
      <c r="G960" s="33"/>
    </row>
    <row r="961" ht="15.75" customHeight="1" spans="7:7">
      <c r="G961" s="33"/>
    </row>
    <row r="962" ht="15.75" customHeight="1" spans="7:7">
      <c r="G962" s="33"/>
    </row>
    <row r="963" ht="15.75" customHeight="1" spans="7:7">
      <c r="G963" s="33"/>
    </row>
    <row r="964" ht="15.75" customHeight="1" spans="7:7">
      <c r="G964" s="33"/>
    </row>
    <row r="965" ht="15.75" customHeight="1" spans="7:7">
      <c r="G965" s="33"/>
    </row>
    <row r="966" ht="15.75" customHeight="1" spans="7:7">
      <c r="G966" s="33"/>
    </row>
    <row r="967" ht="15.75" customHeight="1" spans="7:7">
      <c r="G967" s="33"/>
    </row>
    <row r="968" ht="15.75" customHeight="1" spans="7:7">
      <c r="G968" s="33"/>
    </row>
    <row r="969" ht="15.75" customHeight="1" spans="7:7">
      <c r="G969" s="33"/>
    </row>
    <row r="970" ht="15.75" customHeight="1" spans="7:7">
      <c r="G970" s="33"/>
    </row>
    <row r="971" ht="15.75" customHeight="1" spans="7:7">
      <c r="G971" s="33"/>
    </row>
    <row r="972" ht="15.75" customHeight="1" spans="7:7">
      <c r="G972" s="33"/>
    </row>
    <row r="973" ht="15.75" customHeight="1" spans="7:7">
      <c r="G973" s="33"/>
    </row>
    <row r="974" ht="15.75" customHeight="1" spans="7:7">
      <c r="G974" s="33"/>
    </row>
    <row r="975" ht="15.75" customHeight="1" spans="7:7">
      <c r="G975" s="33"/>
    </row>
    <row r="976" ht="15.75" customHeight="1" spans="7:7">
      <c r="G976" s="33"/>
    </row>
    <row r="977" ht="15.75" customHeight="1" spans="7:7">
      <c r="G977" s="33"/>
    </row>
    <row r="978" ht="15.75" customHeight="1" spans="7:7">
      <c r="G978" s="33"/>
    </row>
    <row r="979" ht="15.75" customHeight="1" spans="7:7">
      <c r="G979" s="33"/>
    </row>
    <row r="980" ht="15.75" customHeight="1" spans="7:7">
      <c r="G980" s="33"/>
    </row>
    <row r="981" ht="15.75" customHeight="1" spans="7:7">
      <c r="G981" s="33"/>
    </row>
    <row r="982" ht="15.75" customHeight="1" spans="7:7">
      <c r="G982" s="33"/>
    </row>
    <row r="983" ht="15.75" customHeight="1" spans="7:7">
      <c r="G983" s="33"/>
    </row>
    <row r="984" ht="15.75" customHeight="1" spans="7:7">
      <c r="G984" s="33"/>
    </row>
    <row r="985" ht="15.75" customHeight="1" spans="7:7">
      <c r="G985" s="33"/>
    </row>
    <row r="986" ht="15.75" customHeight="1" spans="7:7">
      <c r="G986" s="33"/>
    </row>
    <row r="987" ht="15.75" customHeight="1" spans="7:7">
      <c r="G987" s="33"/>
    </row>
    <row r="988" ht="15.75" customHeight="1" spans="7:7">
      <c r="G988" s="33"/>
    </row>
    <row r="989" ht="15.75" customHeight="1" spans="7:7">
      <c r="G989" s="33"/>
    </row>
    <row r="990" ht="15.75" customHeight="1" spans="7:7">
      <c r="G990" s="33"/>
    </row>
    <row r="991" ht="15.75" customHeight="1" spans="7:7">
      <c r="G991" s="33"/>
    </row>
    <row r="992" ht="15.75" customHeight="1" spans="7:7">
      <c r="G992" s="33"/>
    </row>
    <row r="993" ht="15.75" customHeight="1" spans="7:7">
      <c r="G993" s="33"/>
    </row>
    <row r="994" ht="15.75" customHeight="1" spans="7:7">
      <c r="G994" s="33"/>
    </row>
    <row r="995" ht="15.75" customHeight="1" spans="7:7">
      <c r="G995" s="33"/>
    </row>
    <row r="996" ht="15.75" customHeight="1" spans="7:7">
      <c r="G996" s="33"/>
    </row>
    <row r="997" ht="15.75" customHeight="1" spans="7:7">
      <c r="G997" s="33"/>
    </row>
    <row r="998" ht="15.75" customHeight="1" spans="7:7">
      <c r="G998" s="33"/>
    </row>
    <row r="999" ht="15.75" customHeight="1" spans="7:7">
      <c r="G999" s="33"/>
    </row>
    <row r="1000" ht="15.75" customHeight="1" spans="7:7">
      <c r="G1000" s="33"/>
    </row>
  </sheetData>
  <autoFilter xmlns:etc="http://www.wps.cn/officeDocument/2017/etCustomData" ref="A11:J182" etc:filterBottomFollowUsedRange="0">
    <extLst/>
  </autoFilter>
  <mergeCells count="1">
    <mergeCell ref="A1:I1"/>
  </mergeCells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Oct-2025</vt:lpstr>
      <vt:lpstr>Nov-2025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Muhammad Najam</cp:lastModifiedBy>
  <dcterms:created xsi:type="dcterms:W3CDTF">2026-04-18T17:09:00Z</dcterms:created>
  <cp:lastPrinted>2025-12-17T19:14:00Z</cp:lastPrinted>
  <dcterms:modified xsi:type="dcterms:W3CDTF">2026-04-18T17:59:45Z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54EE4874F25241C89C6CF2F3A6860E59_12</vt:lpwstr>
  </property>
  <property fmtid="{D5CDD505-2E9C-101B-9397-08002B2CF9AE}" pid="3" name="KSOProductBuildVer">
    <vt:lpwstr>2057-12.2.0.23202</vt:lpwstr>
  </property>
</Properties>
</file>